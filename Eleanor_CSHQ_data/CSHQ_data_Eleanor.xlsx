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tcdud-my.sharepoint.com/personal/kellyl37_tcd_ie/Documents/Eleanor/Grants/ELEVATE/AIMCP/Sleep Questionnaires/"/>
    </mc:Choice>
  </mc:AlternateContent>
  <xr:revisionPtr revIDLastSave="0" documentId="8_{EA794488-7C69-409E-9A6D-DB8876E5A6C2}" xr6:coauthVersionLast="47" xr6:coauthVersionMax="47" xr10:uidLastSave="{00000000-0000-0000-0000-000000000000}"/>
  <bookViews>
    <workbookView xWindow="-120" yWindow="-120" windowWidth="20730" windowHeight="11040" firstSheet="4" activeTab="4" xr2:uid="{504270C6-CB19-4229-8A11-3378E15534C4}"/>
  </bookViews>
  <sheets>
    <sheet name="FIREFLY controls" sheetId="1" r:id="rId1"/>
    <sheet name="FIREFLY NE" sheetId="2" r:id="rId2"/>
    <sheet name="CHAMPION NE" sheetId="3" r:id="rId3"/>
    <sheet name="CHAMPION CP " sheetId="4" r:id="rId4"/>
    <sheet name="STARFISH Preterm followup" sheetId="5" r:id="rId5"/>
    <sheet name="SERENITY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4" i="5" l="1"/>
  <c r="AX24" i="5" s="1"/>
  <c r="T24" i="5"/>
  <c r="P24" i="5"/>
  <c r="AU23" i="5"/>
  <c r="AX23" i="5" s="1"/>
  <c r="T23" i="5"/>
  <c r="P23" i="5"/>
  <c r="AU22" i="5"/>
  <c r="AX22" i="5" s="1"/>
  <c r="T22" i="5"/>
  <c r="P22" i="5"/>
  <c r="AU19" i="5"/>
  <c r="AX19" i="5" s="1"/>
  <c r="T19" i="5"/>
  <c r="P19" i="5"/>
  <c r="AU18" i="5"/>
  <c r="AX18" i="5" s="1"/>
  <c r="T18" i="5"/>
  <c r="P18" i="5"/>
  <c r="AU17" i="5"/>
  <c r="AX17" i="5" s="1"/>
  <c r="T17" i="5"/>
  <c r="P17" i="5"/>
  <c r="AU16" i="5"/>
  <c r="AX16" i="5" s="1"/>
  <c r="T16" i="5"/>
  <c r="P16" i="5"/>
  <c r="AU15" i="5"/>
  <c r="AX15" i="5" s="1"/>
  <c r="T15" i="5"/>
  <c r="P15" i="5"/>
  <c r="AU14" i="5"/>
  <c r="AX14" i="5" s="1"/>
  <c r="T14" i="5"/>
  <c r="P14" i="5"/>
  <c r="AU13" i="5"/>
  <c r="AX13" i="5" s="1"/>
  <c r="T13" i="5"/>
  <c r="P13" i="5"/>
  <c r="AU12" i="5"/>
  <c r="AX12" i="5" s="1"/>
  <c r="T12" i="5"/>
  <c r="P12" i="5"/>
  <c r="AU11" i="5"/>
  <c r="AX11" i="5" s="1"/>
  <c r="T11" i="5"/>
  <c r="P11" i="5"/>
  <c r="AU10" i="5"/>
  <c r="AX10" i="5" s="1"/>
  <c r="T10" i="5"/>
  <c r="P10" i="5"/>
  <c r="AU9" i="5"/>
  <c r="AX9" i="5" s="1"/>
  <c r="T9" i="5"/>
  <c r="P9" i="5"/>
  <c r="AU8" i="5"/>
  <c r="AX8" i="5" s="1"/>
  <c r="T8" i="5"/>
  <c r="P8" i="5"/>
  <c r="AU7" i="5"/>
  <c r="AX7" i="5" s="1"/>
  <c r="T7" i="5"/>
  <c r="P7" i="5"/>
  <c r="AU6" i="5"/>
  <c r="AX6" i="5" s="1"/>
  <c r="T6" i="5"/>
  <c r="P6" i="5"/>
  <c r="AU5" i="5"/>
  <c r="AX5" i="5" s="1"/>
  <c r="T5" i="5"/>
  <c r="P5" i="5"/>
  <c r="AU4" i="5"/>
  <c r="AX4" i="5" s="1"/>
  <c r="T4" i="5"/>
  <c r="P4" i="5"/>
  <c r="AU3" i="5"/>
  <c r="AX3" i="5" s="1"/>
  <c r="T3" i="5"/>
  <c r="P3" i="5"/>
  <c r="AU2" i="5"/>
  <c r="AX2" i="5" s="1"/>
  <c r="T2" i="5"/>
  <c r="P2" i="5"/>
</calcChain>
</file>

<file path=xl/sharedStrings.xml><?xml version="1.0" encoding="utf-8"?>
<sst xmlns="http://schemas.openxmlformats.org/spreadsheetml/2006/main" count="359" uniqueCount="262">
  <si>
    <t>Sleep Questionnaire (CSHQ)</t>
  </si>
  <si>
    <t>Controls ID</t>
  </si>
  <si>
    <t>Sleep Questionnaire</t>
  </si>
  <si>
    <t>Age in months CSHQ</t>
  </si>
  <si>
    <t>Child’s bedtime</t>
  </si>
  <si>
    <t>Child’s usual wake time</t>
  </si>
  <si>
    <t>Amount of sleep each night (no naps) (hh:mm)</t>
  </si>
  <si>
    <t>Amount of sleep each day (naps) (hh:mm)</t>
  </si>
  <si>
    <t>Subscale 1 (6-18)</t>
  </si>
  <si>
    <t>Subscale 2 (1-3)</t>
  </si>
  <si>
    <t>Subscale 3 (3-9)</t>
  </si>
  <si>
    <t>Subscale 4 (4-12)</t>
  </si>
  <si>
    <t>Subscale 5 (3-9)</t>
  </si>
  <si>
    <t>Subscale 6 (7-21)</t>
  </si>
  <si>
    <t>Subscale 7 (3-9)</t>
  </si>
  <si>
    <t>Subscale 8 (6-22)</t>
  </si>
  <si>
    <t>Total sleep disturbance score (31-97)</t>
  </si>
  <si>
    <t>Sleep questionnaire interpretation</t>
  </si>
  <si>
    <t>(Y=1/N=2)</t>
  </si>
  <si>
    <t>Bedtime resistance</t>
  </si>
  <si>
    <t>Sleep onset</t>
  </si>
  <si>
    <t>Sleep duration</t>
  </si>
  <si>
    <t>Sleep anxiety</t>
  </si>
  <si>
    <t>Night wakings</t>
  </si>
  <si>
    <t>Minutes a night waking usually lasts</t>
  </si>
  <si>
    <t>Parasomnias</t>
  </si>
  <si>
    <t>Sleep disordered breathing</t>
  </si>
  <si>
    <t>Daytime sleepiness</t>
  </si>
  <si>
    <t>CF1</t>
  </si>
  <si>
    <t>CF2</t>
  </si>
  <si>
    <t>CF3</t>
  </si>
  <si>
    <t>CF4</t>
  </si>
  <si>
    <t>CF5</t>
  </si>
  <si>
    <t>CF6</t>
  </si>
  <si>
    <t>20:000</t>
  </si>
  <si>
    <t>CF7</t>
  </si>
  <si>
    <t>CF8</t>
  </si>
  <si>
    <t>CF9</t>
  </si>
  <si>
    <t>CF10</t>
  </si>
  <si>
    <t>CF11</t>
  </si>
  <si>
    <t>CF12</t>
  </si>
  <si>
    <t>Missing second page</t>
  </si>
  <si>
    <t>CF13</t>
  </si>
  <si>
    <t>CF14</t>
  </si>
  <si>
    <t>CF15</t>
  </si>
  <si>
    <t> </t>
  </si>
  <si>
    <t>Missing the first page</t>
  </si>
  <si>
    <t>CF16</t>
  </si>
  <si>
    <t>CF17</t>
  </si>
  <si>
    <t>21:00-10:30</t>
  </si>
  <si>
    <t>6:00 -07:00</t>
  </si>
  <si>
    <t>CF18</t>
  </si>
  <si>
    <t>CF19</t>
  </si>
  <si>
    <t>CF20</t>
  </si>
  <si>
    <t>NE ID</t>
  </si>
  <si>
    <t>NE00186</t>
  </si>
  <si>
    <t>Items 9 to 33 not available</t>
  </si>
  <si>
    <t>NE00195</t>
  </si>
  <si>
    <t>NE00197</t>
  </si>
  <si>
    <t>NE00229</t>
  </si>
  <si>
    <t>NE00232</t>
  </si>
  <si>
    <t>NE00235</t>
  </si>
  <si>
    <t>NE00190</t>
  </si>
  <si>
    <t>NE00192</t>
  </si>
  <si>
    <t>NE00194</t>
  </si>
  <si>
    <t>NE00245</t>
  </si>
  <si>
    <t>NE00251</t>
  </si>
  <si>
    <t>NE00253</t>
  </si>
  <si>
    <t>NE00219</t>
  </si>
  <si>
    <t>NE00220</t>
  </si>
  <si>
    <t>NE00224</t>
  </si>
  <si>
    <t>NE00209</t>
  </si>
  <si>
    <t>NE00210</t>
  </si>
  <si>
    <t>NE00205</t>
  </si>
  <si>
    <t>NE00262</t>
  </si>
  <si>
    <t>NE00230</t>
  </si>
  <si>
    <t>NE00261</t>
  </si>
  <si>
    <t>NE00236</t>
  </si>
  <si>
    <t>NE00238</t>
  </si>
  <si>
    <t>NE00221</t>
  </si>
  <si>
    <t>NE00225</t>
  </si>
  <si>
    <t>NE00267</t>
  </si>
  <si>
    <t>NE00289</t>
  </si>
  <si>
    <t>NE00273</t>
  </si>
  <si>
    <t>NE00280</t>
  </si>
  <si>
    <t>NE00203</t>
  </si>
  <si>
    <t>NE00226</t>
  </si>
  <si>
    <t>Not available</t>
  </si>
  <si>
    <t>NE00215</t>
  </si>
  <si>
    <t>NE00303</t>
  </si>
  <si>
    <t>NE00294</t>
  </si>
  <si>
    <t>Missing data on the first page, scores 1 to 8, might need to be excluded. Parents only completed one page.</t>
  </si>
  <si>
    <t>Sub_ID NE</t>
  </si>
  <si>
    <t>Sleep Quest(Total)</t>
  </si>
  <si>
    <t xml:space="preserve">Bed time res </t>
  </si>
  <si>
    <t>SOD (1-2)</t>
  </si>
  <si>
    <t>SD (3-6)</t>
  </si>
  <si>
    <t>SA</t>
  </si>
  <si>
    <t>NW (3-7)</t>
  </si>
  <si>
    <t>DB (3-5)</t>
  </si>
  <si>
    <t>DS(3-7)</t>
  </si>
  <si>
    <t xml:space="preserve">                              QUESTIONNAIRE</t>
  </si>
  <si>
    <t>NO</t>
  </si>
  <si>
    <t>AGE</t>
  </si>
  <si>
    <t>Sex</t>
  </si>
  <si>
    <t xml:space="preserve">SLEEP CSHQ </t>
  </si>
  <si>
    <t>40-42</t>
  </si>
  <si>
    <t>CN1</t>
  </si>
  <si>
    <t>6 YRS</t>
  </si>
  <si>
    <t>F</t>
  </si>
  <si>
    <t>CN2</t>
  </si>
  <si>
    <t>9 YRS</t>
  </si>
  <si>
    <t>CN3</t>
  </si>
  <si>
    <t>12 YRS</t>
  </si>
  <si>
    <t>M</t>
  </si>
  <si>
    <t>CN4</t>
  </si>
  <si>
    <t>15 YRS</t>
  </si>
  <si>
    <t>CN5</t>
  </si>
  <si>
    <t>16 YRS</t>
  </si>
  <si>
    <t>CN6</t>
  </si>
  <si>
    <t>13 YRS</t>
  </si>
  <si>
    <t>CN7</t>
  </si>
  <si>
    <t>CN8</t>
  </si>
  <si>
    <t>11 YRS</t>
  </si>
  <si>
    <t xml:space="preserve">CN9 </t>
  </si>
  <si>
    <t>CN10</t>
  </si>
  <si>
    <t>4.5 YRS</t>
  </si>
  <si>
    <t>CN11</t>
  </si>
  <si>
    <t>10 YRS</t>
  </si>
  <si>
    <t>CN12</t>
  </si>
  <si>
    <t>3 YRS</t>
  </si>
  <si>
    <t>CN13</t>
  </si>
  <si>
    <t>6.5YRS</t>
  </si>
  <si>
    <t xml:space="preserve">CN14 </t>
  </si>
  <si>
    <t>5 YRS</t>
  </si>
  <si>
    <t>CN15 (5)</t>
  </si>
  <si>
    <t>CN16 (2)</t>
  </si>
  <si>
    <t>CN17</t>
  </si>
  <si>
    <t>CN18 (3)</t>
  </si>
  <si>
    <t>CN 19 (4)</t>
  </si>
  <si>
    <t>14 YRS</t>
  </si>
  <si>
    <t>CN20</t>
  </si>
  <si>
    <t>2.8 YRS</t>
  </si>
  <si>
    <t>CN21</t>
  </si>
  <si>
    <t>7.6 YRS</t>
  </si>
  <si>
    <t>CN22</t>
  </si>
  <si>
    <t>7.3 YRS</t>
  </si>
  <si>
    <t>CN23</t>
  </si>
  <si>
    <t>12.5 YRS</t>
  </si>
  <si>
    <t>CN24</t>
  </si>
  <si>
    <t>CN25</t>
  </si>
  <si>
    <t>CN26</t>
  </si>
  <si>
    <t>CN27</t>
  </si>
  <si>
    <t>STARFISH ID</t>
  </si>
  <si>
    <t>AGE (years)</t>
  </si>
  <si>
    <t>SLEEP HABITS</t>
  </si>
  <si>
    <t>BEDTIME</t>
  </si>
  <si>
    <t>WAKETIME</t>
  </si>
  <si>
    <t>SLEEP HRS NIGHT (NO NAPS)</t>
  </si>
  <si>
    <t>SLEEP HRS (INC NAPS)</t>
  </si>
  <si>
    <t>1= Usually, 2= Sometimes, 3 =Rarely</t>
  </si>
  <si>
    <t>SLEEP SAME TIME</t>
  </si>
  <si>
    <t>alone in own bed</t>
  </si>
  <si>
    <t>SLEEP WITHIN 20MIN OF GOING TO BED</t>
  </si>
  <si>
    <t>SLEEP RIGHT AMOUNT</t>
  </si>
  <si>
    <t>SLEEP SAME AMOUNT DAILY</t>
  </si>
  <si>
    <t>SELF WAKE UP</t>
  </si>
  <si>
    <t>TOTAL</t>
  </si>
  <si>
    <t>APPEARING SLEEPY 0=Not Sleepy, 1=Very Sleepy, 2= Falls Asleep</t>
  </si>
  <si>
    <t>Watching TV (0 = Not Sleepy, 1=Very Sleepy, 2=Falls Asleep)</t>
  </si>
  <si>
    <t>Riding in the car (0 = Not Sleepy, 1=Very Sleepy, 2=Falls Asleep)</t>
  </si>
  <si>
    <t>TOTAL SCORE</t>
  </si>
  <si>
    <t>1 = Rarely, 2=Sometimes, 3= Usually</t>
  </si>
  <si>
    <t>SLEEP IN PARENT/SIBLING BED</t>
  </si>
  <si>
    <t>BEDTIME STRUGGLE (CRY/REFUSE)</t>
  </si>
  <si>
    <t>NEED PARENT IN ROOM</t>
  </si>
  <si>
    <t>AFRAID SLEEP ALONE</t>
  </si>
  <si>
    <t>TOO LITTLE SLEEP</t>
  </si>
  <si>
    <t>AFRAID OF DARK</t>
  </si>
  <si>
    <t>TROUBLE AWAY FROM HOME</t>
  </si>
  <si>
    <t>MOVES TO OTHER BED</t>
  </si>
  <si>
    <t>AWAKENS ONCE DURING NIGHT</t>
  </si>
  <si>
    <t>AWAKENS MORE THAN ONCE</t>
  </si>
  <si>
    <t>SLEEP TALKING</t>
  </si>
  <si>
    <t>RESTLESS SLEEP</t>
  </si>
  <si>
    <t>SLEEPWALK</t>
  </si>
  <si>
    <t>WETS BED</t>
  </si>
  <si>
    <t>GRIND TEETH</t>
  </si>
  <si>
    <t>WAKES ALARMED BY DREAM</t>
  </si>
  <si>
    <t>NIGHT SCREAMING/INCONSOLABLE</t>
  </si>
  <si>
    <t>SNORING</t>
  </si>
  <si>
    <t>STOP BREATHING</t>
  </si>
  <si>
    <t>GASP/SNORTS</t>
  </si>
  <si>
    <t>WAKES IN NEGATIVE MOOD</t>
  </si>
  <si>
    <t>SIBLINGS/ADULTS WAKE CHILD</t>
  </si>
  <si>
    <t>DIFFICULT TO GET OUT OF BED</t>
  </si>
  <si>
    <t>LONG TIME TO BECOME ALERT</t>
  </si>
  <si>
    <t>TIRED IN MORNING</t>
  </si>
  <si>
    <t>S1</t>
  </si>
  <si>
    <t>DONE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</si>
  <si>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</si>
  <si>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</si>
  <si>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</si>
  <si>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</si>
  <si>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</si>
  <si>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</si>
  <si>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</si>
  <si>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</si>
  <si>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</si>
  <si>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</si>
  <si>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</si>
  <si>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</si>
  <si>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</si>
  <si>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</si>
  <si>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</si>
  <si>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</si>
  <si>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</si>
  <si>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</si>
  <si>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</si>
  <si>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</si>
  <si>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</si>
  <si>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</si>
  <si>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</si>
  <si>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</si>
  <si>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DEMOGRAPHICS</t>
  </si>
  <si>
    <t>CSHQ SCORE</t>
  </si>
  <si>
    <t>BASICS</t>
  </si>
  <si>
    <t>Patient ID</t>
  </si>
  <si>
    <t>Age at recruitment</t>
  </si>
  <si>
    <t>Sleep onset delay</t>
  </si>
  <si>
    <t>Total sleep disturbance score</t>
  </si>
  <si>
    <t>TUH01</t>
  </si>
  <si>
    <t>TUH02</t>
  </si>
  <si>
    <t>TUH03</t>
  </si>
  <si>
    <t>TUH04</t>
  </si>
  <si>
    <t>TUH05</t>
  </si>
  <si>
    <t>TUH06</t>
  </si>
  <si>
    <t>TUH07</t>
  </si>
  <si>
    <t>TUH08</t>
  </si>
  <si>
    <t>TUH09</t>
  </si>
  <si>
    <t>TUH10</t>
  </si>
  <si>
    <t>TUH11</t>
  </si>
  <si>
    <t>TUH12</t>
  </si>
  <si>
    <t>TUH13</t>
  </si>
  <si>
    <t>TUH14</t>
  </si>
  <si>
    <t>TUH15</t>
  </si>
  <si>
    <t>TUH16</t>
  </si>
  <si>
    <t>TUH17</t>
  </si>
  <si>
    <t>TUH18</t>
  </si>
  <si>
    <t>TUH19</t>
  </si>
  <si>
    <t>TUH20</t>
  </si>
  <si>
    <t>TUH21</t>
  </si>
  <si>
    <t>TUH22</t>
  </si>
  <si>
    <t>TUH23</t>
  </si>
  <si>
    <t>TUH24</t>
  </si>
  <si>
    <t>TUH25</t>
  </si>
  <si>
    <t>TUH26</t>
  </si>
  <si>
    <t>TUH27</t>
  </si>
  <si>
    <t>TUH28</t>
  </si>
  <si>
    <t>Mean</t>
  </si>
  <si>
    <t>Median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</si>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</sst>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sz val="12"/>
      <color rgb="FFFFFFFF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9BC2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95BEFF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5" fillId="0" borderId="0" xfId="0" applyFont="1"/>
    <xf numFmtId="20" fontId="5" fillId="0" borderId="0" xfId="0" applyNumberFormat="1" applyFont="1"/>
    <xf numFmtId="0" fontId="6" fillId="0" borderId="0" xfId="0" applyFont="1"/>
    <xf numFmtId="0" fontId="5" fillId="3" borderId="0" xfId="0" applyFont="1" applyFill="1"/>
    <xf numFmtId="20" fontId="0" fillId="0" borderId="0" xfId="0" applyNumberFormat="1"/>
    <xf numFmtId="0" fontId="3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6" borderId="0" xfId="0" applyFill="1"/>
    <xf numFmtId="0" fontId="7" fillId="0" borderId="0" xfId="0" applyFont="1"/>
    <xf numFmtId="20" fontId="0" fillId="0" borderId="0" xfId="0" applyNumberFormat="1" applyAlignment="1">
      <alignment horizontal="right"/>
    </xf>
    <xf numFmtId="0" fontId="0" fillId="7" borderId="0" xfId="0" applyFill="1"/>
    <xf numFmtId="0" fontId="3" fillId="0" borderId="0" xfId="0" applyFont="1"/>
    <xf numFmtId="0" fontId="5" fillId="0" borderId="6" xfId="0" applyFont="1" applyBorder="1"/>
    <xf numFmtId="0" fontId="9" fillId="0" borderId="6" xfId="0" applyFont="1" applyBorder="1"/>
    <xf numFmtId="0" fontId="10" fillId="0" borderId="0" xfId="0" applyFont="1"/>
    <xf numFmtId="0" fontId="7" fillId="0" borderId="6" xfId="0" applyFont="1" applyBorder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11" fillId="8" borderId="0" xfId="0" applyFont="1" applyFill="1"/>
    <xf numFmtId="0" fontId="2" fillId="8" borderId="0" xfId="0" applyFont="1" applyFill="1"/>
    <xf numFmtId="0" fontId="11" fillId="0" borderId="0" xfId="0" applyFont="1"/>
    <xf numFmtId="0" fontId="2" fillId="0" borderId="0" xfId="0" applyFont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12" fillId="20" borderId="0" xfId="0" applyFont="1" applyFill="1"/>
    <xf numFmtId="0" fontId="13" fillId="21" borderId="0" xfId="0" applyFont="1" applyFill="1" applyAlignment="1">
      <alignment horizontal="center"/>
    </xf>
    <xf numFmtId="0" fontId="13" fillId="0" borderId="0" xfId="0" applyFont="1"/>
    <xf numFmtId="0" fontId="14" fillId="0" borderId="6" xfId="0" applyFont="1" applyBorder="1"/>
    <xf numFmtId="0" fontId="14" fillId="0" borderId="0" xfId="0" applyFont="1"/>
    <xf numFmtId="0" fontId="13" fillId="0" borderId="6" xfId="0" applyFont="1" applyBorder="1"/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/>
    </xf>
    <xf numFmtId="0" fontId="15" fillId="22" borderId="0" xfId="0" applyFont="1" applyFill="1" applyAlignment="1">
      <alignment horizontal="center"/>
    </xf>
    <xf numFmtId="0" fontId="14" fillId="23" borderId="0" xfId="0" applyFont="1" applyFill="1" applyAlignment="1">
      <alignment horizontal="center"/>
    </xf>
    <xf numFmtId="0" fontId="13" fillId="2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A827-2C1B-4B8B-B53C-30CC7DC56052}">
  <dimension ref="A1:R31"/>
  <sheetViews>
    <sheetView workbookViewId="0">
      <selection activeCell="A2" sqref="A1:A1048576"/>
    </sheetView>
  </sheetViews>
  <sheetFormatPr defaultRowHeight="15"/>
  <cols>
    <col min="1" max="1" width="14.7109375" style="14" customWidth="1"/>
    <col min="2" max="2" width="12.85546875" customWidth="1"/>
    <col min="3" max="7" width="16.85546875" customWidth="1"/>
    <col min="8" max="8" width="18.28515625" customWidth="1"/>
    <col min="9" max="11" width="18.7109375" customWidth="1"/>
    <col min="12" max="13" width="19" customWidth="1"/>
    <col min="14" max="14" width="20.5703125" customWidth="1"/>
    <col min="15" max="15" width="20.140625" customWidth="1"/>
    <col min="16" max="17" width="19" customWidth="1"/>
    <col min="18" max="18" width="34.85546875" customWidth="1"/>
  </cols>
  <sheetData>
    <row r="1" spans="1:18">
      <c r="A1" s="10"/>
      <c r="B1" s="48" t="s">
        <v>0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9"/>
    </row>
    <row r="2" spans="1:18" ht="45">
      <c r="A2" s="47" t="s">
        <v>1</v>
      </c>
      <c r="B2" s="1" t="s">
        <v>2</v>
      </c>
      <c r="C2" s="50" t="s">
        <v>3</v>
      </c>
      <c r="D2" s="51" t="s">
        <v>4</v>
      </c>
      <c r="E2" s="51" t="s">
        <v>5</v>
      </c>
      <c r="F2" s="51" t="s">
        <v>6</v>
      </c>
      <c r="G2" s="51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53" t="s">
        <v>12</v>
      </c>
      <c r="M2" s="54"/>
      <c r="N2" s="2" t="s">
        <v>13</v>
      </c>
      <c r="O2" s="2" t="s">
        <v>14</v>
      </c>
      <c r="P2" s="2" t="s">
        <v>15</v>
      </c>
      <c r="Q2" s="55" t="s">
        <v>16</v>
      </c>
      <c r="R2" s="53" t="s">
        <v>17</v>
      </c>
    </row>
    <row r="3" spans="1:18" ht="30">
      <c r="A3" s="47"/>
      <c r="B3" s="3" t="s">
        <v>18</v>
      </c>
      <c r="C3" s="50"/>
      <c r="D3" s="52"/>
      <c r="E3" s="52"/>
      <c r="F3" s="52"/>
      <c r="G3" s="52"/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  <c r="M3" s="4" t="s">
        <v>24</v>
      </c>
      <c r="N3" s="2" t="s">
        <v>25</v>
      </c>
      <c r="O3" s="4" t="s">
        <v>26</v>
      </c>
      <c r="P3" s="2" t="s">
        <v>27</v>
      </c>
      <c r="Q3" s="55"/>
      <c r="R3" s="53"/>
    </row>
    <row r="4" spans="1:18">
      <c r="A4" s="11" t="s">
        <v>28</v>
      </c>
      <c r="B4" s="5">
        <v>1</v>
      </c>
      <c r="C4" s="5">
        <v>34</v>
      </c>
      <c r="D4" s="6">
        <v>0.8125</v>
      </c>
      <c r="E4" s="6">
        <v>0.3125</v>
      </c>
      <c r="F4" s="6">
        <v>0.5</v>
      </c>
      <c r="G4" s="6">
        <v>0</v>
      </c>
      <c r="H4" s="5">
        <v>6</v>
      </c>
      <c r="I4" s="5">
        <v>1</v>
      </c>
      <c r="J4" s="5">
        <v>3</v>
      </c>
      <c r="K4" s="5">
        <v>4</v>
      </c>
      <c r="L4" s="5">
        <v>3</v>
      </c>
      <c r="M4" s="5">
        <v>10</v>
      </c>
      <c r="N4" s="5">
        <v>3</v>
      </c>
      <c r="O4" s="5">
        <v>8</v>
      </c>
      <c r="P4" s="5">
        <v>36</v>
      </c>
      <c r="Q4" s="5"/>
      <c r="R4" s="5"/>
    </row>
    <row r="5" spans="1:18">
      <c r="A5" s="12" t="s">
        <v>29</v>
      </c>
      <c r="B5" s="5">
        <v>1</v>
      </c>
      <c r="C5" s="5">
        <v>45</v>
      </c>
      <c r="D5" s="6">
        <v>0.91666666666666663</v>
      </c>
      <c r="E5" s="6">
        <v>0.33333333333333331</v>
      </c>
      <c r="F5" s="6">
        <v>0.41666666666666669</v>
      </c>
      <c r="G5" s="6">
        <v>6.25E-2</v>
      </c>
      <c r="H5" s="7">
        <v>15</v>
      </c>
      <c r="I5" s="7">
        <v>3</v>
      </c>
      <c r="J5" s="7">
        <v>3</v>
      </c>
      <c r="K5" s="7">
        <v>10</v>
      </c>
      <c r="L5" s="7">
        <v>4</v>
      </c>
      <c r="M5" s="7">
        <v>11</v>
      </c>
      <c r="N5" s="7">
        <v>4</v>
      </c>
      <c r="O5" s="7">
        <v>13</v>
      </c>
      <c r="P5" s="7">
        <v>57</v>
      </c>
      <c r="Q5" s="7"/>
      <c r="R5" s="7"/>
    </row>
    <row r="6" spans="1:18">
      <c r="A6" s="13" t="s">
        <v>30</v>
      </c>
      <c r="B6" s="5">
        <v>1</v>
      </c>
      <c r="C6" s="5">
        <v>39</v>
      </c>
      <c r="D6" s="6">
        <v>0.83333333333333337</v>
      </c>
      <c r="E6" s="6">
        <v>0.33333333333333331</v>
      </c>
      <c r="F6" s="6">
        <v>0.5</v>
      </c>
      <c r="G6" s="6">
        <v>0</v>
      </c>
      <c r="H6" s="5">
        <v>7</v>
      </c>
      <c r="I6" s="5">
        <v>1</v>
      </c>
      <c r="J6" s="5">
        <v>3</v>
      </c>
      <c r="K6" s="5">
        <v>4</v>
      </c>
      <c r="L6" s="5">
        <v>2</v>
      </c>
      <c r="M6" s="5">
        <v>9</v>
      </c>
      <c r="N6" s="5">
        <v>3</v>
      </c>
      <c r="O6" s="5">
        <v>12</v>
      </c>
      <c r="P6" s="5">
        <v>39</v>
      </c>
      <c r="Q6" s="5"/>
      <c r="R6" s="5"/>
    </row>
    <row r="7" spans="1:18">
      <c r="A7" s="12" t="s">
        <v>31</v>
      </c>
      <c r="B7" s="5">
        <v>1</v>
      </c>
      <c r="C7" s="5">
        <v>54</v>
      </c>
      <c r="D7" s="6">
        <v>0</v>
      </c>
      <c r="E7" s="6">
        <v>0</v>
      </c>
      <c r="F7" s="6">
        <v>0.45833333333333331</v>
      </c>
      <c r="G7" s="6">
        <v>0</v>
      </c>
      <c r="H7" s="5">
        <v>7</v>
      </c>
      <c r="I7" s="5">
        <v>1</v>
      </c>
      <c r="J7" s="5">
        <v>3</v>
      </c>
      <c r="K7" s="5">
        <v>6</v>
      </c>
      <c r="L7" s="5">
        <v>4</v>
      </c>
      <c r="M7" s="5">
        <v>8</v>
      </c>
      <c r="N7" s="5">
        <v>3</v>
      </c>
      <c r="O7" s="5">
        <v>13</v>
      </c>
      <c r="P7" s="5">
        <v>43</v>
      </c>
      <c r="Q7" s="5"/>
      <c r="R7" s="5"/>
    </row>
    <row r="8" spans="1:18">
      <c r="A8" s="11" t="s">
        <v>32</v>
      </c>
      <c r="B8" s="5">
        <v>1</v>
      </c>
      <c r="C8" s="5">
        <v>58</v>
      </c>
      <c r="D8" s="6">
        <v>0.8125</v>
      </c>
      <c r="E8" s="6">
        <v>0.3125</v>
      </c>
      <c r="F8" s="6">
        <v>0.5</v>
      </c>
      <c r="G8" s="6">
        <v>0</v>
      </c>
      <c r="H8" s="5">
        <v>6</v>
      </c>
      <c r="I8" s="5">
        <v>1</v>
      </c>
      <c r="J8" s="5">
        <v>3</v>
      </c>
      <c r="K8" s="5">
        <v>4</v>
      </c>
      <c r="L8" s="5">
        <v>4</v>
      </c>
      <c r="M8" s="5">
        <v>10</v>
      </c>
      <c r="N8" s="5">
        <v>3</v>
      </c>
      <c r="O8" s="5">
        <v>9</v>
      </c>
      <c r="P8" s="5">
        <v>38</v>
      </c>
      <c r="Q8" s="5"/>
      <c r="R8" s="5"/>
    </row>
    <row r="9" spans="1:18">
      <c r="A9" s="11" t="s">
        <v>33</v>
      </c>
      <c r="B9" s="5">
        <v>1</v>
      </c>
      <c r="C9" s="5">
        <v>64</v>
      </c>
      <c r="D9" s="5" t="s">
        <v>34</v>
      </c>
      <c r="E9" s="6">
        <v>0.33333333333333331</v>
      </c>
      <c r="F9" s="6">
        <v>0.5</v>
      </c>
      <c r="G9" s="6">
        <v>0</v>
      </c>
      <c r="H9" s="5">
        <v>6</v>
      </c>
      <c r="I9" s="5">
        <v>1</v>
      </c>
      <c r="J9" s="5">
        <v>4</v>
      </c>
      <c r="K9" s="5">
        <v>3</v>
      </c>
      <c r="L9" s="5">
        <v>1</v>
      </c>
      <c r="M9" s="5">
        <v>9</v>
      </c>
      <c r="N9" s="5">
        <v>3</v>
      </c>
      <c r="O9" s="5">
        <v>11</v>
      </c>
      <c r="P9" s="5">
        <v>36</v>
      </c>
      <c r="Q9" s="5"/>
      <c r="R9" s="5"/>
    </row>
    <row r="10" spans="1:18">
      <c r="A10" s="11" t="s">
        <v>35</v>
      </c>
      <c r="B10" s="5">
        <v>1</v>
      </c>
      <c r="C10" s="5">
        <v>31</v>
      </c>
      <c r="D10" s="6">
        <v>0.83333333333333337</v>
      </c>
      <c r="E10" s="6">
        <v>0.28125</v>
      </c>
      <c r="F10" s="6">
        <v>0.5</v>
      </c>
      <c r="G10" s="6">
        <v>4.1666666666666664E-2</v>
      </c>
      <c r="H10" s="5">
        <v>6</v>
      </c>
      <c r="I10" s="5">
        <v>1</v>
      </c>
      <c r="J10" s="5">
        <v>3</v>
      </c>
      <c r="K10" s="5">
        <v>5</v>
      </c>
      <c r="L10" s="5">
        <v>2</v>
      </c>
      <c r="M10" s="5">
        <v>10</v>
      </c>
      <c r="N10" s="5">
        <v>3</v>
      </c>
      <c r="O10" s="5">
        <v>6</v>
      </c>
      <c r="P10" s="5">
        <v>34</v>
      </c>
      <c r="Q10" s="5"/>
      <c r="R10" s="5"/>
    </row>
    <row r="11" spans="1:18">
      <c r="A11" s="11" t="s">
        <v>36</v>
      </c>
      <c r="B11" s="5">
        <v>1</v>
      </c>
      <c r="C11" s="5">
        <v>37</v>
      </c>
      <c r="D11" s="6">
        <v>0.85416666666666663</v>
      </c>
      <c r="E11" s="6">
        <v>0.29166666666666669</v>
      </c>
      <c r="F11" s="6">
        <v>0.45833333333333331</v>
      </c>
      <c r="G11" s="6">
        <v>6.25E-2</v>
      </c>
      <c r="H11" s="5">
        <v>12</v>
      </c>
      <c r="I11" s="5">
        <v>2</v>
      </c>
      <c r="J11" s="5">
        <v>5</v>
      </c>
      <c r="K11" s="5">
        <v>8</v>
      </c>
      <c r="L11" s="5">
        <v>4</v>
      </c>
      <c r="M11" s="5">
        <v>7</v>
      </c>
      <c r="N11" s="5">
        <v>3</v>
      </c>
      <c r="O11" s="5">
        <v>9</v>
      </c>
      <c r="P11" s="5">
        <v>46</v>
      </c>
      <c r="Q11" s="5"/>
      <c r="R11" s="5"/>
    </row>
    <row r="12" spans="1:18">
      <c r="A12" s="11" t="s">
        <v>37</v>
      </c>
      <c r="B12" s="5">
        <v>1</v>
      </c>
      <c r="C12" s="5">
        <v>40</v>
      </c>
      <c r="D12" s="6">
        <v>0.89583333333333337</v>
      </c>
      <c r="E12" s="6">
        <v>0.29166666666666669</v>
      </c>
      <c r="F12" s="6">
        <v>0.39583333333333331</v>
      </c>
      <c r="G12" s="6">
        <v>0</v>
      </c>
      <c r="H12" s="5">
        <v>12</v>
      </c>
      <c r="I12" s="5">
        <v>3</v>
      </c>
      <c r="J12" s="5">
        <v>7</v>
      </c>
      <c r="K12" s="5">
        <v>11</v>
      </c>
      <c r="L12" s="5">
        <v>7</v>
      </c>
      <c r="M12" s="5">
        <v>9</v>
      </c>
      <c r="N12" s="5">
        <v>3</v>
      </c>
      <c r="O12" s="5">
        <v>16</v>
      </c>
      <c r="P12" s="5">
        <v>62</v>
      </c>
      <c r="Q12" s="5"/>
      <c r="R12" s="5"/>
    </row>
    <row r="13" spans="1:18">
      <c r="A13" s="12" t="s">
        <v>38</v>
      </c>
      <c r="B13" s="5">
        <v>1</v>
      </c>
      <c r="C13" s="5">
        <v>59</v>
      </c>
      <c r="D13" s="6">
        <v>0.39583333333333331</v>
      </c>
      <c r="E13" s="6">
        <v>0.29166666666666669</v>
      </c>
      <c r="F13" s="6">
        <v>0.41666666666666669</v>
      </c>
      <c r="G13" s="6">
        <v>0</v>
      </c>
      <c r="H13" s="5">
        <v>7</v>
      </c>
      <c r="I13" s="5">
        <v>1</v>
      </c>
      <c r="J13" s="5">
        <v>3</v>
      </c>
      <c r="K13" s="5">
        <v>5</v>
      </c>
      <c r="L13" s="5">
        <v>2</v>
      </c>
      <c r="M13" s="5">
        <v>7</v>
      </c>
      <c r="N13" s="5">
        <v>3</v>
      </c>
      <c r="O13" s="5">
        <v>12</v>
      </c>
      <c r="P13" s="5">
        <v>37</v>
      </c>
      <c r="Q13" s="5"/>
      <c r="R13" s="5"/>
    </row>
    <row r="14" spans="1:18">
      <c r="A14" s="12" t="s">
        <v>39</v>
      </c>
      <c r="B14" s="5">
        <v>1</v>
      </c>
      <c r="C14" s="5">
        <v>33</v>
      </c>
      <c r="D14" s="6">
        <v>0.83333333333333337</v>
      </c>
      <c r="E14" s="6">
        <v>0.29166666666666669</v>
      </c>
      <c r="F14" s="6">
        <v>0.45833333333333331</v>
      </c>
      <c r="G14" s="6">
        <v>0</v>
      </c>
      <c r="H14" s="5">
        <v>9</v>
      </c>
      <c r="I14" s="5">
        <v>2</v>
      </c>
      <c r="J14" s="5">
        <v>4</v>
      </c>
      <c r="K14" s="5">
        <v>3</v>
      </c>
      <c r="L14" s="5">
        <v>2</v>
      </c>
      <c r="M14" s="5">
        <v>10</v>
      </c>
      <c r="N14" s="5">
        <v>5</v>
      </c>
      <c r="O14" s="5">
        <v>9</v>
      </c>
      <c r="P14" s="5">
        <v>42</v>
      </c>
      <c r="Q14" s="5"/>
      <c r="R14" s="5"/>
    </row>
    <row r="15" spans="1:18">
      <c r="A15" s="11" t="s">
        <v>40</v>
      </c>
      <c r="B15" s="5">
        <v>1</v>
      </c>
      <c r="C15" s="5">
        <v>55</v>
      </c>
      <c r="D15" s="6">
        <v>0.83333333333333337</v>
      </c>
      <c r="E15" s="6">
        <v>0.32291666666666669</v>
      </c>
      <c r="F15" s="6">
        <v>0.48958333333333331</v>
      </c>
      <c r="G15" s="6">
        <v>0</v>
      </c>
      <c r="H15" s="7">
        <v>2</v>
      </c>
      <c r="I15" s="7">
        <v>2</v>
      </c>
      <c r="J15" s="7">
        <v>2</v>
      </c>
      <c r="K15" s="7">
        <v>0</v>
      </c>
      <c r="L15" s="7">
        <v>0</v>
      </c>
      <c r="M15" s="7">
        <v>0</v>
      </c>
      <c r="N15" s="7">
        <v>0</v>
      </c>
      <c r="O15" s="7">
        <v>3</v>
      </c>
      <c r="P15" s="7">
        <v>9</v>
      </c>
      <c r="Q15" s="5"/>
      <c r="R15" s="5" t="s">
        <v>41</v>
      </c>
    </row>
    <row r="16" spans="1:18">
      <c r="A16" s="11" t="s">
        <v>42</v>
      </c>
      <c r="B16" s="5">
        <v>1</v>
      </c>
      <c r="C16" s="5">
        <v>61</v>
      </c>
      <c r="D16" s="6">
        <v>0.875</v>
      </c>
      <c r="E16" s="6">
        <v>0.3125</v>
      </c>
      <c r="F16" s="6">
        <v>0.4375</v>
      </c>
      <c r="G16" s="6">
        <v>0</v>
      </c>
      <c r="H16" s="5">
        <v>14</v>
      </c>
      <c r="I16" s="5">
        <v>1</v>
      </c>
      <c r="J16" s="5">
        <v>5</v>
      </c>
      <c r="K16" s="5">
        <v>10</v>
      </c>
      <c r="L16" s="5">
        <v>2</v>
      </c>
      <c r="M16" s="5">
        <v>8</v>
      </c>
      <c r="N16" s="5">
        <v>3</v>
      </c>
      <c r="O16" s="5">
        <v>14</v>
      </c>
      <c r="P16" s="5">
        <v>51</v>
      </c>
      <c r="Q16" s="5"/>
      <c r="R16" s="5"/>
    </row>
    <row r="17" spans="1:18">
      <c r="A17" s="13" t="s">
        <v>43</v>
      </c>
      <c r="B17" s="5">
        <v>1</v>
      </c>
      <c r="C17" s="5">
        <v>89</v>
      </c>
      <c r="D17" s="6">
        <v>0.83333333333333337</v>
      </c>
      <c r="E17" s="6">
        <v>0.29166666666666669</v>
      </c>
      <c r="F17" s="6">
        <v>0.45833333333333331</v>
      </c>
      <c r="G17" s="6">
        <v>0</v>
      </c>
      <c r="H17" s="5">
        <v>11</v>
      </c>
      <c r="I17" s="5">
        <v>2</v>
      </c>
      <c r="J17" s="5">
        <v>6</v>
      </c>
      <c r="K17" s="5">
        <v>5</v>
      </c>
      <c r="L17" s="5">
        <v>6</v>
      </c>
      <c r="M17" s="5">
        <v>10</v>
      </c>
      <c r="N17" s="5">
        <v>3</v>
      </c>
      <c r="O17" s="5">
        <v>7</v>
      </c>
      <c r="P17" s="5">
        <v>47</v>
      </c>
      <c r="Q17" s="5"/>
      <c r="R17" s="5"/>
    </row>
    <row r="18" spans="1:18">
      <c r="A18" s="14" t="s">
        <v>44</v>
      </c>
      <c r="B18" s="5">
        <v>1</v>
      </c>
      <c r="C18" s="5">
        <v>51</v>
      </c>
      <c r="D18" s="8" t="s">
        <v>45</v>
      </c>
      <c r="E18" s="8" t="s">
        <v>45</v>
      </c>
      <c r="F18" s="8" t="s">
        <v>45</v>
      </c>
      <c r="G18" s="8" t="s">
        <v>45</v>
      </c>
      <c r="H18" s="7">
        <v>7</v>
      </c>
      <c r="I18" s="7">
        <v>0</v>
      </c>
      <c r="J18" s="7">
        <v>1</v>
      </c>
      <c r="K18" s="7">
        <v>7</v>
      </c>
      <c r="L18" s="7">
        <v>2</v>
      </c>
      <c r="M18" s="7">
        <v>7</v>
      </c>
      <c r="N18" s="7">
        <v>3</v>
      </c>
      <c r="O18" s="7">
        <v>5</v>
      </c>
      <c r="P18" s="7">
        <v>27</v>
      </c>
      <c r="Q18" s="5"/>
      <c r="R18" s="5" t="s">
        <v>46</v>
      </c>
    </row>
    <row r="19" spans="1:18">
      <c r="A19" s="14" t="s">
        <v>47</v>
      </c>
      <c r="B19" s="5">
        <v>1</v>
      </c>
      <c r="C19" s="5">
        <v>40</v>
      </c>
      <c r="D19" s="6">
        <v>0.8125</v>
      </c>
      <c r="E19" s="6">
        <v>0.34027777777777779</v>
      </c>
      <c r="F19" s="6">
        <v>0.5</v>
      </c>
      <c r="G19" s="6">
        <v>0</v>
      </c>
      <c r="H19" s="5">
        <v>6</v>
      </c>
      <c r="I19" s="5">
        <v>1</v>
      </c>
      <c r="J19" s="5">
        <v>3</v>
      </c>
      <c r="K19" s="5">
        <v>4</v>
      </c>
      <c r="L19" s="5">
        <v>2</v>
      </c>
      <c r="M19" s="5">
        <v>8</v>
      </c>
      <c r="N19" s="5">
        <v>3</v>
      </c>
      <c r="O19" s="5">
        <v>13</v>
      </c>
      <c r="P19" s="5">
        <v>38</v>
      </c>
      <c r="Q19" s="5"/>
      <c r="R19" s="5"/>
    </row>
    <row r="20" spans="1:18">
      <c r="A20" s="14" t="s">
        <v>48</v>
      </c>
      <c r="B20" s="5">
        <v>1</v>
      </c>
      <c r="C20" s="5">
        <v>25</v>
      </c>
      <c r="D20" s="5" t="s">
        <v>49</v>
      </c>
      <c r="E20" s="5" t="s">
        <v>50</v>
      </c>
      <c r="F20" s="6">
        <v>0.375</v>
      </c>
      <c r="G20" s="5"/>
      <c r="H20" s="5">
        <v>13</v>
      </c>
      <c r="I20" s="5">
        <v>3</v>
      </c>
      <c r="J20" s="5">
        <v>3</v>
      </c>
      <c r="K20" s="5">
        <v>6</v>
      </c>
      <c r="L20" s="5">
        <v>2</v>
      </c>
      <c r="M20" s="5">
        <v>7</v>
      </c>
      <c r="N20" s="5">
        <v>5</v>
      </c>
      <c r="O20" s="5">
        <v>8</v>
      </c>
      <c r="P20" s="5">
        <v>43</v>
      </c>
      <c r="Q20" s="5"/>
      <c r="R20" s="5"/>
    </row>
    <row r="21" spans="1:18">
      <c r="A21" s="14" t="s">
        <v>51</v>
      </c>
      <c r="B21" s="5">
        <v>1</v>
      </c>
      <c r="C21" s="5">
        <v>72</v>
      </c>
      <c r="D21" s="6">
        <v>0.85416666666666663</v>
      </c>
      <c r="E21" s="6">
        <v>0.3125</v>
      </c>
      <c r="F21" s="6">
        <v>0.41666666666666669</v>
      </c>
      <c r="G21" s="5"/>
      <c r="H21" s="5">
        <v>13</v>
      </c>
      <c r="I21" s="5">
        <v>3</v>
      </c>
      <c r="J21" s="5">
        <v>3</v>
      </c>
      <c r="K21" s="5">
        <v>8</v>
      </c>
      <c r="L21" s="5">
        <v>2</v>
      </c>
      <c r="M21" s="5">
        <v>9</v>
      </c>
      <c r="N21" s="5">
        <v>4</v>
      </c>
      <c r="O21" s="5">
        <v>8</v>
      </c>
      <c r="P21" s="5">
        <v>46</v>
      </c>
      <c r="Q21" s="5"/>
      <c r="R21" s="5"/>
    </row>
    <row r="22" spans="1:18">
      <c r="A22" s="14" t="s">
        <v>52</v>
      </c>
      <c r="B22" s="5">
        <v>1</v>
      </c>
      <c r="C22" s="5">
        <v>41</v>
      </c>
      <c r="D22" s="6">
        <v>0.8125</v>
      </c>
      <c r="E22" s="6">
        <v>0.33333333333333331</v>
      </c>
      <c r="F22" s="6">
        <v>0.5</v>
      </c>
      <c r="G22" s="6">
        <v>0</v>
      </c>
      <c r="H22" s="5">
        <v>7</v>
      </c>
      <c r="I22" s="5">
        <v>2</v>
      </c>
      <c r="J22" s="5">
        <v>4</v>
      </c>
      <c r="K22" s="5">
        <v>6</v>
      </c>
      <c r="L22" s="5">
        <v>3</v>
      </c>
      <c r="M22" s="5">
        <v>10</v>
      </c>
      <c r="N22" s="5">
        <v>3</v>
      </c>
      <c r="O22" s="5">
        <v>12</v>
      </c>
      <c r="P22" s="5">
        <v>45</v>
      </c>
      <c r="Q22" s="5"/>
      <c r="R22" s="5"/>
    </row>
    <row r="23" spans="1:18">
      <c r="A23" s="14" t="s">
        <v>53</v>
      </c>
      <c r="B23" s="5">
        <v>1</v>
      </c>
      <c r="C23" s="5">
        <v>28</v>
      </c>
      <c r="D23" s="6">
        <v>0.875</v>
      </c>
      <c r="E23" s="6">
        <v>0.33333333333333331</v>
      </c>
      <c r="F23" s="6">
        <v>0.45833333333333331</v>
      </c>
      <c r="G23" s="6">
        <v>6.25E-2</v>
      </c>
      <c r="H23" s="5">
        <v>14</v>
      </c>
      <c r="I23" s="5">
        <v>2</v>
      </c>
      <c r="J23" s="5">
        <v>3</v>
      </c>
      <c r="K23" s="5">
        <v>10</v>
      </c>
      <c r="L23" s="5">
        <v>5</v>
      </c>
      <c r="M23" s="5">
        <v>10</v>
      </c>
      <c r="N23" s="5">
        <v>3</v>
      </c>
      <c r="O23" s="5">
        <v>8</v>
      </c>
      <c r="P23" s="5">
        <v>49</v>
      </c>
      <c r="Q23" s="5"/>
      <c r="R23" s="5"/>
    </row>
    <row r="24" spans="1:18">
      <c r="D24" s="9"/>
      <c r="E24" s="9"/>
      <c r="F24" s="9"/>
      <c r="G24" s="9"/>
    </row>
    <row r="25" spans="1:18">
      <c r="D25" s="9"/>
      <c r="E25" s="9"/>
      <c r="F25" s="9"/>
      <c r="G25" s="9"/>
    </row>
    <row r="26" spans="1:18">
      <c r="D26" s="9"/>
      <c r="E26" s="9"/>
      <c r="F26" s="9"/>
      <c r="G26" s="9"/>
    </row>
    <row r="27" spans="1:18">
      <c r="D27" s="9"/>
      <c r="E27" s="9"/>
      <c r="F27" s="9"/>
      <c r="G27" s="9"/>
    </row>
    <row r="28" spans="1:18">
      <c r="D28" s="9"/>
      <c r="E28" s="9"/>
      <c r="F28" s="9"/>
      <c r="G28" s="9"/>
    </row>
    <row r="29" spans="1:18">
      <c r="D29" s="9"/>
      <c r="E29" s="9"/>
      <c r="F29" s="9"/>
      <c r="G29" s="9"/>
    </row>
    <row r="30" spans="1:18">
      <c r="D30" s="9"/>
      <c r="E30" s="9"/>
      <c r="F30" s="9"/>
      <c r="G30" s="9"/>
    </row>
    <row r="31" spans="1:18">
      <c r="D31" s="9"/>
      <c r="E31" s="9"/>
      <c r="F31" s="9"/>
      <c r="G31" s="9"/>
    </row>
  </sheetData>
  <mergeCells count="10">
    <mergeCell ref="A2:A3"/>
    <mergeCell ref="B1:R1"/>
    <mergeCell ref="C2:C3"/>
    <mergeCell ref="D2:D3"/>
    <mergeCell ref="E2:E3"/>
    <mergeCell ref="F2:F3"/>
    <mergeCell ref="G2:G3"/>
    <mergeCell ref="L2:M2"/>
    <mergeCell ref="Q2:Q3"/>
    <mergeCell ref="R2:R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24EA-6D8C-4636-8650-921076C7C844}">
  <dimension ref="A1:R37"/>
  <sheetViews>
    <sheetView workbookViewId="0">
      <selection activeCell="A2" sqref="A1:A1048576"/>
    </sheetView>
  </sheetViews>
  <sheetFormatPr defaultRowHeight="15"/>
  <cols>
    <col min="2" max="2" width="12.85546875" customWidth="1"/>
    <col min="3" max="7" width="16.85546875" customWidth="1"/>
    <col min="8" max="8" width="18.28515625" customWidth="1"/>
    <col min="9" max="11" width="18.7109375" customWidth="1"/>
    <col min="12" max="13" width="19" customWidth="1"/>
    <col min="14" max="14" width="20.5703125" customWidth="1"/>
    <col min="15" max="15" width="20.140625" customWidth="1"/>
    <col min="16" max="17" width="19" customWidth="1"/>
    <col min="18" max="18" width="34.85546875" customWidth="1"/>
  </cols>
  <sheetData>
    <row r="1" spans="1:18">
      <c r="A1" s="20"/>
      <c r="B1" s="48" t="s">
        <v>0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9"/>
    </row>
    <row r="2" spans="1:18" ht="45">
      <c r="A2" s="56" t="s">
        <v>54</v>
      </c>
      <c r="B2" s="1" t="s">
        <v>2</v>
      </c>
      <c r="C2" s="50" t="s">
        <v>3</v>
      </c>
      <c r="D2" s="51" t="s">
        <v>4</v>
      </c>
      <c r="E2" s="51" t="s">
        <v>5</v>
      </c>
      <c r="F2" s="51" t="s">
        <v>6</v>
      </c>
      <c r="G2" s="51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53" t="s">
        <v>12</v>
      </c>
      <c r="M2" s="54"/>
      <c r="N2" s="2" t="s">
        <v>13</v>
      </c>
      <c r="O2" s="2" t="s">
        <v>14</v>
      </c>
      <c r="P2" s="2" t="s">
        <v>15</v>
      </c>
      <c r="Q2" s="55" t="s">
        <v>16</v>
      </c>
      <c r="R2" s="53" t="s">
        <v>17</v>
      </c>
    </row>
    <row r="3" spans="1:18" ht="30">
      <c r="A3" s="56"/>
      <c r="B3" s="3" t="s">
        <v>18</v>
      </c>
      <c r="C3" s="50"/>
      <c r="D3" s="52"/>
      <c r="E3" s="52"/>
      <c r="F3" s="52"/>
      <c r="G3" s="52"/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  <c r="M3" s="4" t="s">
        <v>24</v>
      </c>
      <c r="N3" s="2" t="s">
        <v>25</v>
      </c>
      <c r="O3" s="4" t="s">
        <v>26</v>
      </c>
      <c r="P3" s="2" t="s">
        <v>27</v>
      </c>
      <c r="Q3" s="55"/>
      <c r="R3" s="53"/>
    </row>
    <row r="4" spans="1:18">
      <c r="A4" s="21" t="s">
        <v>55</v>
      </c>
      <c r="B4">
        <v>1</v>
      </c>
      <c r="C4">
        <v>46</v>
      </c>
      <c r="D4" s="9">
        <v>0.83333333333333337</v>
      </c>
      <c r="E4" s="9">
        <v>0.33333333333333331</v>
      </c>
      <c r="F4" s="9">
        <v>0.5</v>
      </c>
      <c r="G4" s="9">
        <v>0</v>
      </c>
      <c r="H4" s="15">
        <v>3</v>
      </c>
      <c r="I4" s="15">
        <v>1</v>
      </c>
      <c r="J4" s="15">
        <v>2</v>
      </c>
      <c r="K4" s="15">
        <v>0</v>
      </c>
      <c r="L4" s="15">
        <v>0</v>
      </c>
      <c r="M4" s="15"/>
      <c r="N4" s="15">
        <v>0</v>
      </c>
      <c r="O4" s="15">
        <v>0</v>
      </c>
      <c r="P4" s="15">
        <v>1</v>
      </c>
      <c r="Q4" s="15">
        <v>7</v>
      </c>
      <c r="R4" s="15" t="s">
        <v>56</v>
      </c>
    </row>
    <row r="5" spans="1:18">
      <c r="A5" s="21" t="s">
        <v>57</v>
      </c>
      <c r="B5">
        <v>1</v>
      </c>
      <c r="C5">
        <v>42</v>
      </c>
      <c r="D5" s="9">
        <v>0.85416666666666663</v>
      </c>
      <c r="E5" s="9">
        <v>0.33333333333333331</v>
      </c>
      <c r="F5" s="9">
        <v>0.45833333333333331</v>
      </c>
      <c r="G5" s="9">
        <v>0</v>
      </c>
      <c r="H5">
        <v>6</v>
      </c>
      <c r="I5">
        <v>1</v>
      </c>
      <c r="J5">
        <v>3</v>
      </c>
      <c r="K5">
        <v>6</v>
      </c>
      <c r="L5">
        <v>4</v>
      </c>
      <c r="M5">
        <v>1</v>
      </c>
      <c r="N5">
        <v>8</v>
      </c>
      <c r="O5">
        <v>3</v>
      </c>
      <c r="P5">
        <v>8</v>
      </c>
      <c r="Q5">
        <v>37</v>
      </c>
    </row>
    <row r="6" spans="1:18">
      <c r="A6" s="21" t="s">
        <v>58</v>
      </c>
      <c r="B6">
        <v>1</v>
      </c>
      <c r="C6">
        <v>44</v>
      </c>
      <c r="D6" s="9">
        <v>0.83333333333333337</v>
      </c>
      <c r="E6" s="9">
        <v>0.33333333333333331</v>
      </c>
      <c r="F6" s="9">
        <v>0.5</v>
      </c>
      <c r="G6" s="9">
        <v>0</v>
      </c>
      <c r="H6" s="15">
        <v>4</v>
      </c>
      <c r="I6" s="15">
        <v>1</v>
      </c>
      <c r="J6" s="15">
        <v>5</v>
      </c>
      <c r="K6" s="15">
        <v>0</v>
      </c>
      <c r="L6" s="15">
        <v>0</v>
      </c>
      <c r="M6" s="15"/>
      <c r="N6" s="15">
        <v>0</v>
      </c>
      <c r="O6" s="15">
        <v>0</v>
      </c>
      <c r="P6" s="15">
        <v>1</v>
      </c>
      <c r="Q6" s="15">
        <v>11</v>
      </c>
      <c r="R6" s="15" t="s">
        <v>56</v>
      </c>
    </row>
    <row r="7" spans="1:18">
      <c r="A7" s="21" t="s">
        <v>59</v>
      </c>
      <c r="B7">
        <v>1</v>
      </c>
      <c r="C7">
        <v>32</v>
      </c>
      <c r="D7" s="9">
        <v>0.8125</v>
      </c>
      <c r="E7" s="9">
        <v>0.27083333333333331</v>
      </c>
      <c r="F7" s="9">
        <v>0.41666666666666669</v>
      </c>
      <c r="G7" s="9">
        <v>6.25E-2</v>
      </c>
      <c r="H7">
        <v>12</v>
      </c>
      <c r="I7">
        <v>2</v>
      </c>
      <c r="J7">
        <v>3</v>
      </c>
      <c r="K7">
        <v>7</v>
      </c>
      <c r="L7">
        <v>6</v>
      </c>
      <c r="M7">
        <v>0</v>
      </c>
      <c r="N7">
        <v>8</v>
      </c>
      <c r="O7">
        <v>3</v>
      </c>
      <c r="P7">
        <v>7</v>
      </c>
      <c r="Q7">
        <v>43</v>
      </c>
    </row>
    <row r="8" spans="1:18">
      <c r="A8" s="22" t="s">
        <v>60</v>
      </c>
      <c r="B8">
        <v>1</v>
      </c>
      <c r="C8">
        <v>30</v>
      </c>
      <c r="D8" s="9">
        <v>0.83333333333333337</v>
      </c>
      <c r="E8" s="9">
        <v>0.29166666666666669</v>
      </c>
      <c r="F8" s="9">
        <v>0.45833333333333331</v>
      </c>
      <c r="G8" s="9">
        <v>6.25E-2</v>
      </c>
      <c r="H8">
        <v>7</v>
      </c>
      <c r="I8">
        <v>2</v>
      </c>
      <c r="J8">
        <v>3</v>
      </c>
      <c r="K8">
        <v>5</v>
      </c>
      <c r="L8">
        <v>3</v>
      </c>
      <c r="M8">
        <v>0</v>
      </c>
      <c r="N8">
        <v>7</v>
      </c>
      <c r="O8">
        <v>3</v>
      </c>
      <c r="P8">
        <v>8</v>
      </c>
      <c r="Q8">
        <v>36</v>
      </c>
    </row>
    <row r="9" spans="1:18">
      <c r="A9" s="21" t="s">
        <v>61</v>
      </c>
      <c r="B9">
        <v>1</v>
      </c>
      <c r="C9">
        <v>29</v>
      </c>
      <c r="D9" s="9">
        <v>0.8125</v>
      </c>
      <c r="E9" s="9">
        <v>0.25</v>
      </c>
      <c r="F9" s="9">
        <v>0.4375</v>
      </c>
      <c r="G9" s="9">
        <v>4.8611111111111112E-2</v>
      </c>
      <c r="H9">
        <v>9</v>
      </c>
      <c r="I9">
        <v>1</v>
      </c>
      <c r="J9">
        <v>3</v>
      </c>
      <c r="K9">
        <v>7</v>
      </c>
      <c r="L9">
        <v>7</v>
      </c>
      <c r="M9">
        <v>5</v>
      </c>
      <c r="N9">
        <v>15</v>
      </c>
      <c r="O9">
        <v>5</v>
      </c>
      <c r="P9">
        <v>7</v>
      </c>
      <c r="Q9">
        <v>50</v>
      </c>
    </row>
    <row r="10" spans="1:18">
      <c r="A10" s="21" t="s">
        <v>62</v>
      </c>
      <c r="B10">
        <v>1</v>
      </c>
      <c r="C10">
        <v>54</v>
      </c>
      <c r="D10" s="9">
        <v>0.8125</v>
      </c>
      <c r="E10" s="9">
        <v>0.29166666666666669</v>
      </c>
      <c r="F10" s="9">
        <v>0.45833333333333331</v>
      </c>
      <c r="G10" s="9">
        <v>0</v>
      </c>
      <c r="H10">
        <v>6</v>
      </c>
      <c r="I10">
        <v>1</v>
      </c>
      <c r="J10">
        <v>3</v>
      </c>
      <c r="K10">
        <v>4</v>
      </c>
      <c r="L10">
        <v>3</v>
      </c>
      <c r="M10">
        <v>0</v>
      </c>
      <c r="N10">
        <v>7</v>
      </c>
      <c r="O10">
        <v>3</v>
      </c>
      <c r="P10">
        <v>9</v>
      </c>
      <c r="Q10">
        <v>34</v>
      </c>
    </row>
    <row r="11" spans="1:18">
      <c r="A11" s="21" t="s">
        <v>63</v>
      </c>
      <c r="B11">
        <v>1</v>
      </c>
      <c r="C11">
        <v>54</v>
      </c>
      <c r="D11" s="9">
        <v>0.875</v>
      </c>
      <c r="E11" s="9">
        <v>0.29166666666666669</v>
      </c>
      <c r="F11" s="9">
        <v>0.375</v>
      </c>
      <c r="G11" s="9">
        <v>0</v>
      </c>
      <c r="H11">
        <v>14</v>
      </c>
      <c r="I11">
        <v>1</v>
      </c>
      <c r="J11">
        <v>3</v>
      </c>
      <c r="K11" s="16">
        <v>7</v>
      </c>
      <c r="L11" s="16">
        <v>2</v>
      </c>
      <c r="M11">
        <v>0</v>
      </c>
      <c r="N11">
        <v>7</v>
      </c>
      <c r="O11">
        <v>3</v>
      </c>
      <c r="P11">
        <v>14</v>
      </c>
      <c r="Q11">
        <v>46</v>
      </c>
    </row>
    <row r="12" spans="1:18">
      <c r="A12" s="21" t="s">
        <v>64</v>
      </c>
      <c r="B12">
        <v>1</v>
      </c>
      <c r="C12">
        <v>54</v>
      </c>
      <c r="D12" s="9">
        <v>0.91666666666666663</v>
      </c>
      <c r="E12" s="9">
        <v>0.33333333333333331</v>
      </c>
      <c r="F12" s="9">
        <v>0.41666666666666669</v>
      </c>
      <c r="G12" s="9">
        <v>8.3333333333333329E-2</v>
      </c>
      <c r="H12">
        <v>14</v>
      </c>
      <c r="I12">
        <v>2</v>
      </c>
      <c r="J12">
        <v>3</v>
      </c>
      <c r="K12">
        <v>11</v>
      </c>
      <c r="L12">
        <v>3</v>
      </c>
      <c r="M12">
        <v>0</v>
      </c>
      <c r="N12">
        <v>9</v>
      </c>
      <c r="O12">
        <v>3</v>
      </c>
      <c r="P12">
        <v>9</v>
      </c>
      <c r="Q12">
        <v>48</v>
      </c>
    </row>
    <row r="13" spans="1:18">
      <c r="A13" s="21" t="s">
        <v>65</v>
      </c>
      <c r="B13">
        <v>1</v>
      </c>
      <c r="C13">
        <v>56</v>
      </c>
      <c r="D13" s="9">
        <v>0.79166666666666663</v>
      </c>
      <c r="E13" s="9">
        <v>0.29166666666666669</v>
      </c>
      <c r="F13" s="9">
        <v>0.45833333333333331</v>
      </c>
      <c r="G13" s="9">
        <v>0</v>
      </c>
      <c r="H13">
        <v>6</v>
      </c>
      <c r="I13">
        <v>1</v>
      </c>
      <c r="J13">
        <v>3</v>
      </c>
      <c r="K13">
        <v>6</v>
      </c>
      <c r="L13">
        <v>5</v>
      </c>
      <c r="M13">
        <v>10</v>
      </c>
      <c r="N13">
        <v>10</v>
      </c>
      <c r="O13">
        <v>3</v>
      </c>
      <c r="P13">
        <v>8</v>
      </c>
      <c r="Q13">
        <v>40</v>
      </c>
    </row>
    <row r="14" spans="1:18">
      <c r="A14" s="21" t="s">
        <v>66</v>
      </c>
      <c r="B14">
        <v>1</v>
      </c>
      <c r="C14">
        <v>46</v>
      </c>
      <c r="D14" s="9">
        <v>0.83333333333333337</v>
      </c>
      <c r="E14" s="9">
        <v>0.3125</v>
      </c>
      <c r="F14" s="9">
        <v>0.47916666666666669</v>
      </c>
      <c r="G14" s="9">
        <v>0</v>
      </c>
      <c r="H14">
        <v>7</v>
      </c>
      <c r="I14">
        <v>1</v>
      </c>
      <c r="J14">
        <v>4</v>
      </c>
      <c r="K14">
        <v>5</v>
      </c>
      <c r="L14">
        <v>4</v>
      </c>
      <c r="M14">
        <v>0</v>
      </c>
      <c r="N14">
        <v>7</v>
      </c>
      <c r="O14">
        <v>4</v>
      </c>
      <c r="P14">
        <v>7</v>
      </c>
      <c r="Q14">
        <v>37</v>
      </c>
    </row>
    <row r="15" spans="1:18">
      <c r="A15" s="21" t="s">
        <v>67</v>
      </c>
      <c r="B15">
        <v>1</v>
      </c>
      <c r="C15">
        <v>49</v>
      </c>
      <c r="D15" s="9">
        <v>0.83333333333333337</v>
      </c>
      <c r="E15" s="9">
        <v>0.3125</v>
      </c>
      <c r="F15" s="9">
        <v>0.47916666666666669</v>
      </c>
      <c r="G15" s="9">
        <v>0</v>
      </c>
      <c r="H15">
        <v>6</v>
      </c>
      <c r="I15">
        <v>1</v>
      </c>
      <c r="J15">
        <v>3</v>
      </c>
      <c r="K15">
        <v>5</v>
      </c>
      <c r="L15">
        <v>4</v>
      </c>
      <c r="M15">
        <v>0</v>
      </c>
      <c r="N15">
        <v>8</v>
      </c>
      <c r="O15">
        <v>3</v>
      </c>
      <c r="P15">
        <v>6</v>
      </c>
      <c r="Q15">
        <v>34</v>
      </c>
    </row>
    <row r="16" spans="1:18">
      <c r="A16" s="21" t="s">
        <v>68</v>
      </c>
      <c r="B16">
        <v>1</v>
      </c>
      <c r="C16">
        <v>43</v>
      </c>
      <c r="D16" s="9">
        <v>0.79166666666666663</v>
      </c>
      <c r="E16" s="9">
        <v>0.27083333333333331</v>
      </c>
      <c r="F16" s="9">
        <v>0.47916666666666669</v>
      </c>
      <c r="G16" s="9">
        <v>0</v>
      </c>
      <c r="H16">
        <v>6</v>
      </c>
      <c r="I16">
        <v>1</v>
      </c>
      <c r="J16">
        <v>3</v>
      </c>
      <c r="K16">
        <v>4</v>
      </c>
      <c r="L16">
        <v>5</v>
      </c>
      <c r="M16">
        <v>30</v>
      </c>
      <c r="N16">
        <v>12</v>
      </c>
      <c r="O16">
        <v>8</v>
      </c>
      <c r="P16">
        <v>6</v>
      </c>
      <c r="Q16">
        <v>43</v>
      </c>
    </row>
    <row r="17" spans="1:17">
      <c r="A17" s="21" t="s">
        <v>69</v>
      </c>
      <c r="B17">
        <v>1</v>
      </c>
      <c r="C17">
        <v>44</v>
      </c>
      <c r="D17" s="9">
        <v>0.83333333333333337</v>
      </c>
      <c r="E17" s="9">
        <v>0.3125</v>
      </c>
      <c r="F17" s="9">
        <v>0.47916666666666669</v>
      </c>
      <c r="G17" s="9">
        <v>0</v>
      </c>
      <c r="H17">
        <v>8</v>
      </c>
      <c r="I17">
        <v>1</v>
      </c>
      <c r="J17">
        <v>5</v>
      </c>
      <c r="K17">
        <v>6</v>
      </c>
      <c r="L17">
        <v>3</v>
      </c>
      <c r="M17">
        <v>0</v>
      </c>
      <c r="N17">
        <v>7</v>
      </c>
      <c r="O17">
        <v>3</v>
      </c>
      <c r="P17">
        <v>6</v>
      </c>
      <c r="Q17">
        <v>36</v>
      </c>
    </row>
    <row r="18" spans="1:17">
      <c r="A18" s="21" t="s">
        <v>70</v>
      </c>
      <c r="B18">
        <v>1</v>
      </c>
      <c r="C18">
        <v>42</v>
      </c>
      <c r="D18" s="9">
        <v>0.8125</v>
      </c>
      <c r="E18" s="9">
        <v>0.33333333333333331</v>
      </c>
      <c r="F18" s="9">
        <v>0.47916666666666669</v>
      </c>
      <c r="G18" s="9">
        <v>0</v>
      </c>
      <c r="H18">
        <v>7</v>
      </c>
      <c r="I18">
        <v>1</v>
      </c>
      <c r="J18">
        <v>3</v>
      </c>
      <c r="K18">
        <v>4</v>
      </c>
      <c r="L18">
        <v>3</v>
      </c>
      <c r="M18">
        <v>0</v>
      </c>
      <c r="N18">
        <v>7</v>
      </c>
      <c r="O18">
        <v>3</v>
      </c>
      <c r="P18">
        <v>6</v>
      </c>
      <c r="Q18">
        <v>32</v>
      </c>
    </row>
    <row r="19" spans="1:17">
      <c r="A19" s="21" t="s">
        <v>71</v>
      </c>
      <c r="B19">
        <v>1</v>
      </c>
      <c r="C19">
        <v>49</v>
      </c>
      <c r="D19" s="9">
        <v>0.85416666666666663</v>
      </c>
      <c r="E19" s="9">
        <v>0.3125</v>
      </c>
      <c r="F19" s="9">
        <v>0.45833333333333331</v>
      </c>
      <c r="G19" s="9">
        <v>6.25E-2</v>
      </c>
      <c r="H19">
        <v>6</v>
      </c>
      <c r="I19">
        <v>1</v>
      </c>
      <c r="J19">
        <v>3</v>
      </c>
      <c r="K19">
        <v>4</v>
      </c>
      <c r="L19">
        <v>3</v>
      </c>
      <c r="M19">
        <v>0</v>
      </c>
      <c r="N19">
        <v>9</v>
      </c>
      <c r="O19">
        <v>4</v>
      </c>
      <c r="P19">
        <v>7</v>
      </c>
      <c r="Q19">
        <v>35</v>
      </c>
    </row>
    <row r="20" spans="1:17">
      <c r="A20" s="21" t="s">
        <v>72</v>
      </c>
      <c r="B20">
        <v>1</v>
      </c>
      <c r="C20">
        <v>48</v>
      </c>
      <c r="D20" s="9">
        <v>0.8125</v>
      </c>
      <c r="E20" s="9">
        <v>0.27083333333333331</v>
      </c>
      <c r="F20" s="9">
        <v>0.45833333333333331</v>
      </c>
      <c r="G20" s="9">
        <v>0</v>
      </c>
      <c r="H20">
        <v>6</v>
      </c>
      <c r="I20">
        <v>1</v>
      </c>
      <c r="J20">
        <v>3</v>
      </c>
      <c r="K20">
        <v>4</v>
      </c>
      <c r="L20">
        <v>3</v>
      </c>
      <c r="M20">
        <v>0</v>
      </c>
      <c r="N20">
        <v>7</v>
      </c>
      <c r="O20">
        <v>3</v>
      </c>
      <c r="P20">
        <v>10</v>
      </c>
      <c r="Q20">
        <v>35</v>
      </c>
    </row>
    <row r="21" spans="1:17">
      <c r="A21" s="21" t="s">
        <v>73</v>
      </c>
      <c r="B21">
        <v>1</v>
      </c>
      <c r="C21">
        <v>53</v>
      </c>
      <c r="D21" s="9">
        <v>0.875</v>
      </c>
      <c r="E21" s="9">
        <v>0.33333333333333331</v>
      </c>
      <c r="F21" s="9">
        <v>0.45833333333333331</v>
      </c>
      <c r="G21" s="9">
        <v>6.25E-2</v>
      </c>
      <c r="H21">
        <v>10</v>
      </c>
      <c r="I21">
        <v>2</v>
      </c>
      <c r="J21">
        <v>4</v>
      </c>
      <c r="K21">
        <v>7</v>
      </c>
      <c r="L21">
        <v>4</v>
      </c>
      <c r="M21">
        <v>5</v>
      </c>
      <c r="N21">
        <v>11</v>
      </c>
      <c r="O21">
        <v>3</v>
      </c>
      <c r="P21">
        <v>12</v>
      </c>
      <c r="Q21">
        <v>48</v>
      </c>
    </row>
    <row r="22" spans="1:17">
      <c r="A22" s="21" t="s">
        <v>74</v>
      </c>
      <c r="B22">
        <v>1</v>
      </c>
      <c r="C22">
        <v>41</v>
      </c>
      <c r="D22" s="9">
        <v>0.83333333333333337</v>
      </c>
      <c r="E22" s="9">
        <v>0.29166666666666669</v>
      </c>
      <c r="F22" s="9">
        <v>0.47916666666666669</v>
      </c>
      <c r="G22" s="9">
        <v>0</v>
      </c>
      <c r="H22">
        <v>13</v>
      </c>
      <c r="I22">
        <v>1</v>
      </c>
      <c r="J22">
        <v>3</v>
      </c>
      <c r="K22">
        <v>8</v>
      </c>
      <c r="L22">
        <v>8</v>
      </c>
      <c r="M22">
        <v>15</v>
      </c>
      <c r="N22">
        <v>9</v>
      </c>
      <c r="O22">
        <v>4</v>
      </c>
      <c r="P22">
        <v>9</v>
      </c>
      <c r="Q22">
        <v>49</v>
      </c>
    </row>
    <row r="23" spans="1:17">
      <c r="A23" s="21" t="s">
        <v>75</v>
      </c>
      <c r="B23">
        <v>1</v>
      </c>
      <c r="C23">
        <v>41</v>
      </c>
      <c r="D23" s="9">
        <v>0.8125</v>
      </c>
      <c r="E23" s="9">
        <v>0.3125</v>
      </c>
      <c r="F23" s="9">
        <v>0.5</v>
      </c>
      <c r="G23" s="9">
        <v>0</v>
      </c>
      <c r="H23">
        <v>10</v>
      </c>
      <c r="I23">
        <v>1</v>
      </c>
      <c r="J23">
        <v>4</v>
      </c>
      <c r="K23">
        <v>8</v>
      </c>
      <c r="L23">
        <v>6</v>
      </c>
      <c r="M23">
        <v>0</v>
      </c>
      <c r="N23">
        <v>8</v>
      </c>
      <c r="O23">
        <v>3</v>
      </c>
      <c r="P23">
        <v>6</v>
      </c>
      <c r="Q23">
        <v>42</v>
      </c>
    </row>
    <row r="24" spans="1:17">
      <c r="A24" s="5" t="s">
        <v>76</v>
      </c>
      <c r="B24">
        <v>1</v>
      </c>
      <c r="C24" s="16"/>
      <c r="D24" s="9">
        <v>0.91666666666666663</v>
      </c>
      <c r="E24" s="9">
        <v>0.5</v>
      </c>
      <c r="F24" s="9">
        <v>0.58333333333333337</v>
      </c>
      <c r="G24" s="9">
        <v>0</v>
      </c>
      <c r="H24">
        <v>18</v>
      </c>
      <c r="I24">
        <v>3</v>
      </c>
      <c r="J24">
        <v>9</v>
      </c>
      <c r="K24">
        <v>12</v>
      </c>
      <c r="L24">
        <v>9</v>
      </c>
      <c r="N24">
        <v>15</v>
      </c>
      <c r="O24">
        <v>8</v>
      </c>
      <c r="P24">
        <v>16</v>
      </c>
      <c r="Q24">
        <v>84</v>
      </c>
    </row>
    <row r="25" spans="1:17">
      <c r="A25" s="21" t="s">
        <v>77</v>
      </c>
      <c r="B25">
        <v>1</v>
      </c>
      <c r="C25">
        <v>39</v>
      </c>
      <c r="D25" s="9">
        <v>0.77083333333333337</v>
      </c>
      <c r="E25" s="9">
        <v>0.27083333333333331</v>
      </c>
      <c r="F25" s="9">
        <v>0.5</v>
      </c>
      <c r="G25" s="9">
        <v>0</v>
      </c>
      <c r="H25">
        <v>10</v>
      </c>
      <c r="I25">
        <v>1</v>
      </c>
      <c r="J25">
        <v>3</v>
      </c>
      <c r="K25">
        <v>6</v>
      </c>
      <c r="L25">
        <v>8</v>
      </c>
      <c r="M25">
        <v>30</v>
      </c>
      <c r="N25">
        <v>8</v>
      </c>
      <c r="O25">
        <v>3</v>
      </c>
      <c r="P25">
        <v>7</v>
      </c>
      <c r="Q25">
        <v>42</v>
      </c>
    </row>
    <row r="26" spans="1:17">
      <c r="A26" s="21" t="s">
        <v>78</v>
      </c>
      <c r="B26">
        <v>1</v>
      </c>
      <c r="C26">
        <v>38</v>
      </c>
      <c r="D26" s="9">
        <v>0.83333333333333337</v>
      </c>
      <c r="E26" s="9">
        <v>0.33333333333333331</v>
      </c>
      <c r="F26" s="9">
        <v>0.5</v>
      </c>
      <c r="G26" s="9">
        <v>0</v>
      </c>
      <c r="H26">
        <v>11</v>
      </c>
      <c r="I26">
        <v>1</v>
      </c>
      <c r="J26">
        <v>3</v>
      </c>
      <c r="K26">
        <v>8</v>
      </c>
      <c r="L26">
        <v>3</v>
      </c>
      <c r="M26">
        <v>5</v>
      </c>
      <c r="N26">
        <v>10</v>
      </c>
      <c r="O26">
        <v>3</v>
      </c>
      <c r="P26">
        <v>7</v>
      </c>
      <c r="Q26">
        <v>41</v>
      </c>
    </row>
    <row r="27" spans="1:17">
      <c r="A27" s="21" t="s">
        <v>79</v>
      </c>
      <c r="B27">
        <v>1</v>
      </c>
      <c r="C27">
        <v>46</v>
      </c>
      <c r="D27" s="9">
        <v>0.79166666666666663</v>
      </c>
      <c r="E27" s="9">
        <v>0.29166666666666669</v>
      </c>
      <c r="F27" s="9">
        <v>0.5</v>
      </c>
      <c r="G27" s="9">
        <v>0</v>
      </c>
      <c r="H27">
        <v>12</v>
      </c>
      <c r="I27">
        <v>1</v>
      </c>
      <c r="J27">
        <v>3</v>
      </c>
      <c r="K27">
        <v>7</v>
      </c>
      <c r="L27">
        <v>7</v>
      </c>
      <c r="M27">
        <v>10</v>
      </c>
      <c r="N27">
        <v>8</v>
      </c>
      <c r="O27">
        <v>3</v>
      </c>
      <c r="P27">
        <v>9</v>
      </c>
      <c r="Q27">
        <v>45</v>
      </c>
    </row>
    <row r="28" spans="1:17">
      <c r="A28" s="21" t="s">
        <v>80</v>
      </c>
      <c r="B28">
        <v>1</v>
      </c>
      <c r="C28">
        <v>46</v>
      </c>
      <c r="D28" s="9">
        <v>0.83333333333333337</v>
      </c>
      <c r="E28" s="9">
        <v>0.29166666666666669</v>
      </c>
      <c r="F28" s="9">
        <v>0.45833333333333331</v>
      </c>
      <c r="G28" s="9">
        <v>2.0833333333333332E-2</v>
      </c>
      <c r="H28">
        <v>6</v>
      </c>
      <c r="I28">
        <v>1</v>
      </c>
      <c r="J28">
        <v>4</v>
      </c>
      <c r="K28">
        <v>6</v>
      </c>
      <c r="L28">
        <v>3</v>
      </c>
      <c r="M28">
        <v>0</v>
      </c>
      <c r="N28">
        <v>9</v>
      </c>
      <c r="O28">
        <v>6</v>
      </c>
      <c r="P28">
        <v>12</v>
      </c>
      <c r="Q28">
        <v>45</v>
      </c>
    </row>
    <row r="29" spans="1:17">
      <c r="A29" s="21" t="s">
        <v>81</v>
      </c>
      <c r="B29">
        <v>1</v>
      </c>
      <c r="C29">
        <v>35</v>
      </c>
      <c r="D29" s="9">
        <v>0.83333333333333337</v>
      </c>
      <c r="E29" s="9">
        <v>0.3125</v>
      </c>
      <c r="F29" s="9">
        <v>0.4375</v>
      </c>
      <c r="G29" s="9">
        <v>0</v>
      </c>
      <c r="H29">
        <v>9</v>
      </c>
      <c r="I29">
        <v>2</v>
      </c>
      <c r="J29">
        <v>3</v>
      </c>
      <c r="K29">
        <v>6</v>
      </c>
      <c r="L29">
        <v>4</v>
      </c>
      <c r="M29">
        <v>0</v>
      </c>
      <c r="N29">
        <v>8</v>
      </c>
      <c r="O29">
        <v>4</v>
      </c>
      <c r="P29">
        <v>11</v>
      </c>
      <c r="Q29">
        <v>44</v>
      </c>
    </row>
    <row r="30" spans="1:17">
      <c r="A30" s="21" t="s">
        <v>82</v>
      </c>
      <c r="B30">
        <v>1</v>
      </c>
      <c r="C30">
        <v>26</v>
      </c>
      <c r="D30" s="9">
        <v>0.82291666666666663</v>
      </c>
      <c r="E30" s="9">
        <v>0.29166666666666669</v>
      </c>
      <c r="F30" s="9">
        <v>0.45833333333333331</v>
      </c>
      <c r="G30" s="9">
        <v>4.1666666666666664E-2</v>
      </c>
      <c r="H30">
        <v>6</v>
      </c>
      <c r="I30">
        <v>1</v>
      </c>
      <c r="J30">
        <v>3</v>
      </c>
      <c r="K30">
        <v>5</v>
      </c>
      <c r="L30">
        <v>5</v>
      </c>
      <c r="M30">
        <v>30</v>
      </c>
      <c r="N30">
        <v>7</v>
      </c>
      <c r="O30">
        <v>3</v>
      </c>
      <c r="P30">
        <v>8</v>
      </c>
      <c r="Q30">
        <v>36</v>
      </c>
    </row>
    <row r="31" spans="1:17">
      <c r="A31" s="21" t="s">
        <v>83</v>
      </c>
      <c r="B31">
        <v>1</v>
      </c>
      <c r="C31">
        <v>36</v>
      </c>
      <c r="D31" s="9">
        <v>0.8125</v>
      </c>
      <c r="E31" s="9">
        <v>0.3125</v>
      </c>
      <c r="F31" s="9">
        <v>0.5</v>
      </c>
      <c r="G31" s="9">
        <v>0</v>
      </c>
      <c r="H31">
        <v>13</v>
      </c>
      <c r="I31">
        <v>3</v>
      </c>
      <c r="J31">
        <v>6</v>
      </c>
      <c r="K31">
        <v>8</v>
      </c>
      <c r="L31">
        <v>6</v>
      </c>
      <c r="N31">
        <v>15</v>
      </c>
      <c r="O31">
        <v>3</v>
      </c>
      <c r="P31">
        <v>10</v>
      </c>
      <c r="Q31">
        <v>58</v>
      </c>
    </row>
    <row r="32" spans="1:17">
      <c r="A32" s="21" t="s">
        <v>84</v>
      </c>
      <c r="B32">
        <v>1</v>
      </c>
      <c r="C32">
        <v>30</v>
      </c>
      <c r="D32" s="9">
        <v>0.8125</v>
      </c>
      <c r="E32" s="9">
        <v>0.33333333333333331</v>
      </c>
      <c r="F32" s="9">
        <v>0.5</v>
      </c>
      <c r="G32" s="9">
        <v>0.10416666666666667</v>
      </c>
      <c r="H32">
        <v>7</v>
      </c>
      <c r="I32">
        <v>2</v>
      </c>
      <c r="J32">
        <v>3</v>
      </c>
      <c r="K32">
        <v>4</v>
      </c>
      <c r="L32">
        <v>4</v>
      </c>
      <c r="M32">
        <v>60</v>
      </c>
      <c r="N32">
        <v>10</v>
      </c>
      <c r="O32">
        <v>4</v>
      </c>
      <c r="P32">
        <v>11</v>
      </c>
      <c r="Q32">
        <v>43</v>
      </c>
    </row>
    <row r="33" spans="1:18">
      <c r="A33" s="7" t="s">
        <v>85</v>
      </c>
      <c r="B33">
        <v>1</v>
      </c>
      <c r="C33" s="15"/>
      <c r="D33" s="9">
        <v>0.33333333333333331</v>
      </c>
      <c r="E33" s="9">
        <v>0.33333333333333331</v>
      </c>
      <c r="F33" s="9">
        <v>0.5</v>
      </c>
      <c r="G33" s="9">
        <v>0</v>
      </c>
      <c r="H33" s="17">
        <v>9</v>
      </c>
      <c r="I33" s="17">
        <v>2</v>
      </c>
      <c r="J33" s="17">
        <v>3</v>
      </c>
      <c r="K33" s="17">
        <v>5</v>
      </c>
      <c r="L33" s="17">
        <v>4</v>
      </c>
      <c r="M33" s="17"/>
      <c r="N33" s="17">
        <v>9</v>
      </c>
      <c r="O33" s="17">
        <v>3</v>
      </c>
      <c r="P33" s="17">
        <v>6</v>
      </c>
      <c r="Q33" s="17">
        <v>38</v>
      </c>
      <c r="R33" s="15"/>
    </row>
    <row r="34" spans="1:18">
      <c r="A34" s="5" t="s">
        <v>86</v>
      </c>
      <c r="B34">
        <v>1</v>
      </c>
      <c r="D34" s="9">
        <v>0.79166666666666663</v>
      </c>
      <c r="E34" s="9">
        <v>0.29166666666666669</v>
      </c>
      <c r="F34" s="9">
        <v>0.5</v>
      </c>
      <c r="G34" s="18" t="s">
        <v>87</v>
      </c>
      <c r="H34">
        <v>15</v>
      </c>
      <c r="I34">
        <v>2</v>
      </c>
      <c r="J34">
        <v>7</v>
      </c>
      <c r="K34">
        <v>10</v>
      </c>
      <c r="L34">
        <v>6</v>
      </c>
      <c r="N34">
        <v>13</v>
      </c>
      <c r="O34">
        <v>5</v>
      </c>
      <c r="P34">
        <v>16</v>
      </c>
      <c r="Q34">
        <v>68</v>
      </c>
    </row>
    <row r="35" spans="1:18">
      <c r="A35" s="5" t="s">
        <v>88</v>
      </c>
      <c r="B35">
        <v>1</v>
      </c>
      <c r="D35" s="9">
        <v>0.8125</v>
      </c>
      <c r="E35" s="9">
        <v>0.29166666666666669</v>
      </c>
      <c r="F35" s="9">
        <v>0.47916666666666669</v>
      </c>
      <c r="G35" s="9">
        <v>0</v>
      </c>
      <c r="H35">
        <v>6</v>
      </c>
      <c r="I35">
        <v>1</v>
      </c>
      <c r="J35">
        <v>3</v>
      </c>
      <c r="K35">
        <v>4</v>
      </c>
      <c r="L35">
        <v>3</v>
      </c>
      <c r="N35">
        <v>8</v>
      </c>
      <c r="O35">
        <v>4</v>
      </c>
      <c r="P35">
        <v>9</v>
      </c>
      <c r="Q35">
        <v>36</v>
      </c>
    </row>
    <row r="36" spans="1:18">
      <c r="A36" s="23" t="s">
        <v>89</v>
      </c>
      <c r="B36">
        <v>1</v>
      </c>
      <c r="D36" s="9">
        <v>0.85416666666666663</v>
      </c>
      <c r="E36" s="9">
        <v>0.33333333333333331</v>
      </c>
      <c r="F36" s="9">
        <v>0.47916666666666669</v>
      </c>
      <c r="G36" s="9">
        <v>6.25E-2</v>
      </c>
      <c r="H36">
        <v>8</v>
      </c>
      <c r="I36">
        <v>1</v>
      </c>
      <c r="J36">
        <v>3</v>
      </c>
      <c r="K36">
        <v>5</v>
      </c>
      <c r="L36">
        <v>3</v>
      </c>
      <c r="M36">
        <v>60</v>
      </c>
      <c r="N36">
        <v>6</v>
      </c>
      <c r="O36">
        <v>3</v>
      </c>
      <c r="P36">
        <v>10</v>
      </c>
      <c r="Q36">
        <v>36</v>
      </c>
    </row>
    <row r="37" spans="1:18">
      <c r="A37" s="24" t="s">
        <v>90</v>
      </c>
      <c r="B37">
        <v>1</v>
      </c>
      <c r="D37" s="19"/>
      <c r="E37" s="19"/>
      <c r="F37" s="19"/>
      <c r="G37" s="19"/>
      <c r="H37">
        <v>5</v>
      </c>
      <c r="I37">
        <v>0</v>
      </c>
      <c r="J37">
        <v>1</v>
      </c>
      <c r="K37">
        <v>3</v>
      </c>
      <c r="L37">
        <v>6</v>
      </c>
      <c r="M37">
        <v>180</v>
      </c>
      <c r="N37">
        <v>10</v>
      </c>
      <c r="O37">
        <v>3</v>
      </c>
      <c r="P37">
        <v>6</v>
      </c>
      <c r="Q37">
        <v>32</v>
      </c>
      <c r="R37" t="s">
        <v>91</v>
      </c>
    </row>
  </sheetData>
  <mergeCells count="10">
    <mergeCell ref="A2:A3"/>
    <mergeCell ref="B1:R1"/>
    <mergeCell ref="C2:C3"/>
    <mergeCell ref="D2:D3"/>
    <mergeCell ref="E2:E3"/>
    <mergeCell ref="F2:F3"/>
    <mergeCell ref="G2:G3"/>
    <mergeCell ref="L2:M2"/>
    <mergeCell ref="Q2:Q3"/>
    <mergeCell ref="R2: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55BA2-6128-4CB1-87C3-FCE18C25D20A}">
  <dimension ref="A1:J102"/>
  <sheetViews>
    <sheetView workbookViewId="0">
      <selection activeCell="B1" sqref="B1:J1048576"/>
    </sheetView>
  </sheetViews>
  <sheetFormatPr defaultRowHeight="15"/>
  <cols>
    <col min="2" max="2" width="10.28515625" customWidth="1"/>
    <col min="3" max="3" width="9.28515625" customWidth="1"/>
    <col min="4" max="4" width="8.42578125" customWidth="1"/>
    <col min="5" max="7" width="8.5703125" customWidth="1"/>
    <col min="8" max="8" width="8.85546875" customWidth="1"/>
    <col min="9" max="10" width="9.5703125" customWidth="1"/>
  </cols>
  <sheetData>
    <row r="1" spans="1:10">
      <c r="A1" t="s">
        <v>92</v>
      </c>
      <c r="B1" s="25" t="s">
        <v>93</v>
      </c>
      <c r="C1" s="25" t="s">
        <v>94</v>
      </c>
      <c r="D1" s="25" t="s">
        <v>95</v>
      </c>
      <c r="E1" s="25" t="s">
        <v>96</v>
      </c>
      <c r="F1" s="25" t="s">
        <v>97</v>
      </c>
      <c r="G1" s="25" t="s">
        <v>98</v>
      </c>
      <c r="H1" s="25" t="s">
        <v>25</v>
      </c>
      <c r="I1" s="25" t="s">
        <v>99</v>
      </c>
      <c r="J1" s="25" t="s">
        <v>100</v>
      </c>
    </row>
    <row r="2" spans="1:10">
      <c r="A2">
        <v>2</v>
      </c>
      <c r="B2">
        <v>48</v>
      </c>
    </row>
    <row r="3" spans="1:10">
      <c r="A3">
        <v>3</v>
      </c>
      <c r="B3">
        <v>38</v>
      </c>
      <c r="C3">
        <v>7</v>
      </c>
      <c r="D3">
        <v>1</v>
      </c>
      <c r="E3">
        <v>3</v>
      </c>
      <c r="F3">
        <v>6</v>
      </c>
      <c r="G3">
        <v>5</v>
      </c>
      <c r="H3">
        <v>9</v>
      </c>
      <c r="I3">
        <v>3</v>
      </c>
      <c r="J3">
        <v>6</v>
      </c>
    </row>
    <row r="4" spans="1:10">
      <c r="A4">
        <v>4</v>
      </c>
      <c r="B4">
        <v>43</v>
      </c>
      <c r="C4">
        <v>8</v>
      </c>
      <c r="D4">
        <v>3</v>
      </c>
      <c r="E4">
        <v>3</v>
      </c>
      <c r="F4">
        <v>8</v>
      </c>
      <c r="G4">
        <v>5</v>
      </c>
      <c r="H4">
        <v>8</v>
      </c>
      <c r="I4">
        <v>3</v>
      </c>
      <c r="J4">
        <v>6</v>
      </c>
    </row>
    <row r="5" spans="1:10">
      <c r="A5">
        <v>5</v>
      </c>
      <c r="B5">
        <v>56</v>
      </c>
      <c r="C5">
        <v>12</v>
      </c>
      <c r="D5">
        <v>2</v>
      </c>
      <c r="E5">
        <v>3</v>
      </c>
      <c r="F5">
        <v>9</v>
      </c>
      <c r="G5">
        <v>5</v>
      </c>
      <c r="H5">
        <v>10</v>
      </c>
      <c r="I5">
        <v>3</v>
      </c>
      <c r="J5">
        <v>15</v>
      </c>
    </row>
    <row r="6" spans="1:10">
      <c r="A6">
        <v>7</v>
      </c>
      <c r="B6">
        <v>39</v>
      </c>
      <c r="C6">
        <v>6</v>
      </c>
      <c r="D6">
        <v>1</v>
      </c>
      <c r="E6">
        <v>3</v>
      </c>
      <c r="F6">
        <v>4</v>
      </c>
      <c r="G6">
        <v>5</v>
      </c>
      <c r="H6">
        <v>11</v>
      </c>
      <c r="I6">
        <v>3</v>
      </c>
      <c r="J6">
        <v>8</v>
      </c>
    </row>
    <row r="7" spans="1:10">
      <c r="A7">
        <v>8</v>
      </c>
      <c r="B7">
        <v>34</v>
      </c>
      <c r="C7">
        <v>5</v>
      </c>
      <c r="D7">
        <v>1</v>
      </c>
      <c r="E7">
        <v>3</v>
      </c>
      <c r="F7">
        <v>3</v>
      </c>
      <c r="G7">
        <v>2</v>
      </c>
      <c r="H7">
        <v>7</v>
      </c>
      <c r="I7">
        <v>2</v>
      </c>
      <c r="J7">
        <v>12</v>
      </c>
    </row>
    <row r="8" spans="1:10">
      <c r="A8">
        <v>9</v>
      </c>
      <c r="B8">
        <v>32</v>
      </c>
      <c r="C8">
        <v>6</v>
      </c>
      <c r="D8">
        <v>1</v>
      </c>
      <c r="E8">
        <v>3</v>
      </c>
      <c r="F8">
        <v>5</v>
      </c>
      <c r="G8">
        <v>3</v>
      </c>
      <c r="H8">
        <v>7</v>
      </c>
      <c r="I8">
        <v>3</v>
      </c>
      <c r="J8">
        <v>10</v>
      </c>
    </row>
    <row r="9" spans="1:10">
      <c r="A9">
        <v>11</v>
      </c>
      <c r="B9">
        <v>45</v>
      </c>
      <c r="C9">
        <v>7</v>
      </c>
      <c r="D9">
        <v>1</v>
      </c>
      <c r="E9">
        <v>3</v>
      </c>
      <c r="F9">
        <v>6</v>
      </c>
      <c r="G9">
        <v>7</v>
      </c>
      <c r="H9">
        <v>11</v>
      </c>
      <c r="I9">
        <v>3</v>
      </c>
      <c r="J9">
        <v>10</v>
      </c>
    </row>
    <row r="10" spans="1:10">
      <c r="A10">
        <v>12</v>
      </c>
      <c r="B10">
        <v>49</v>
      </c>
      <c r="C10">
        <v>12</v>
      </c>
      <c r="D10">
        <v>1</v>
      </c>
      <c r="E10">
        <v>3</v>
      </c>
      <c r="F10">
        <v>10</v>
      </c>
      <c r="G10">
        <v>4</v>
      </c>
      <c r="H10">
        <v>11</v>
      </c>
      <c r="I10">
        <v>5</v>
      </c>
      <c r="J10">
        <v>9</v>
      </c>
    </row>
    <row r="11" spans="1:10">
      <c r="A11">
        <v>13</v>
      </c>
      <c r="B11">
        <v>40</v>
      </c>
      <c r="C11">
        <v>7</v>
      </c>
      <c r="D11">
        <v>2</v>
      </c>
      <c r="E11">
        <v>3</v>
      </c>
      <c r="F11">
        <v>5</v>
      </c>
      <c r="G11">
        <v>3</v>
      </c>
      <c r="H11">
        <v>9</v>
      </c>
      <c r="I11">
        <v>4</v>
      </c>
      <c r="J11">
        <v>9</v>
      </c>
    </row>
    <row r="12" spans="1:10">
      <c r="A12">
        <v>14</v>
      </c>
      <c r="B12">
        <v>48</v>
      </c>
      <c r="C12">
        <v>9</v>
      </c>
      <c r="D12">
        <v>1</v>
      </c>
      <c r="E12">
        <v>3</v>
      </c>
      <c r="F12">
        <v>9</v>
      </c>
      <c r="G12">
        <v>5</v>
      </c>
      <c r="H12">
        <v>12</v>
      </c>
      <c r="I12">
        <v>5</v>
      </c>
      <c r="J12">
        <v>9</v>
      </c>
    </row>
    <row r="13" spans="1:10">
      <c r="A13">
        <v>15</v>
      </c>
      <c r="B13">
        <v>38</v>
      </c>
      <c r="C13">
        <v>9</v>
      </c>
      <c r="D13">
        <v>1</v>
      </c>
      <c r="E13">
        <v>3</v>
      </c>
      <c r="F13">
        <v>6</v>
      </c>
      <c r="G13">
        <v>4</v>
      </c>
      <c r="H13">
        <v>6</v>
      </c>
      <c r="I13">
        <v>3</v>
      </c>
      <c r="J13">
        <v>10</v>
      </c>
    </row>
    <row r="14" spans="1:10">
      <c r="A14">
        <v>17</v>
      </c>
      <c r="B14">
        <v>55</v>
      </c>
      <c r="C14">
        <v>12</v>
      </c>
      <c r="D14">
        <v>1</v>
      </c>
      <c r="E14">
        <v>6</v>
      </c>
      <c r="F14">
        <v>10</v>
      </c>
      <c r="G14">
        <v>6</v>
      </c>
      <c r="H14">
        <v>10</v>
      </c>
      <c r="I14">
        <v>4</v>
      </c>
      <c r="J14">
        <v>12</v>
      </c>
    </row>
    <row r="15" spans="1:10">
      <c r="A15">
        <v>18</v>
      </c>
      <c r="B15">
        <v>38</v>
      </c>
      <c r="C15">
        <v>6</v>
      </c>
      <c r="D15">
        <v>1</v>
      </c>
      <c r="E15">
        <v>3</v>
      </c>
      <c r="F15">
        <v>4</v>
      </c>
      <c r="G15">
        <v>3</v>
      </c>
      <c r="H15">
        <v>7</v>
      </c>
      <c r="I15">
        <v>3</v>
      </c>
      <c r="J15">
        <v>8</v>
      </c>
    </row>
    <row r="16" spans="1:10">
      <c r="A16">
        <v>19</v>
      </c>
      <c r="B16">
        <v>37</v>
      </c>
      <c r="C16">
        <v>6</v>
      </c>
      <c r="D16">
        <v>2</v>
      </c>
      <c r="E16">
        <v>3</v>
      </c>
      <c r="F16">
        <v>4</v>
      </c>
      <c r="G16">
        <v>3</v>
      </c>
      <c r="H16">
        <v>8</v>
      </c>
      <c r="I16">
        <v>3</v>
      </c>
      <c r="J16">
        <v>8</v>
      </c>
    </row>
    <row r="17" spans="1:10">
      <c r="A17">
        <v>23</v>
      </c>
      <c r="B17">
        <v>36</v>
      </c>
      <c r="C17">
        <v>6</v>
      </c>
      <c r="D17">
        <v>1</v>
      </c>
      <c r="E17">
        <v>3</v>
      </c>
      <c r="F17">
        <v>5</v>
      </c>
      <c r="G17">
        <v>3</v>
      </c>
      <c r="H17">
        <v>9</v>
      </c>
      <c r="I17">
        <v>3</v>
      </c>
      <c r="J17">
        <v>8</v>
      </c>
    </row>
    <row r="18" spans="1:10">
      <c r="A18">
        <v>25</v>
      </c>
      <c r="B18">
        <v>52</v>
      </c>
      <c r="C18">
        <v>9</v>
      </c>
      <c r="D18">
        <v>1</v>
      </c>
      <c r="E18">
        <v>3</v>
      </c>
      <c r="F18">
        <v>7</v>
      </c>
      <c r="G18">
        <v>5</v>
      </c>
      <c r="H18">
        <v>9</v>
      </c>
      <c r="I18">
        <v>6</v>
      </c>
      <c r="J18">
        <v>16</v>
      </c>
    </row>
    <row r="19" spans="1:10">
      <c r="A19">
        <v>26</v>
      </c>
      <c r="B19">
        <v>39</v>
      </c>
      <c r="C19">
        <v>6</v>
      </c>
      <c r="D19">
        <v>2</v>
      </c>
      <c r="E19">
        <v>3</v>
      </c>
      <c r="F19">
        <v>5</v>
      </c>
      <c r="G19">
        <v>4</v>
      </c>
      <c r="H19">
        <v>8</v>
      </c>
      <c r="I19">
        <v>3</v>
      </c>
      <c r="J19">
        <v>10</v>
      </c>
    </row>
    <row r="20" spans="1:10">
      <c r="A20">
        <v>27</v>
      </c>
      <c r="B20">
        <v>38</v>
      </c>
    </row>
    <row r="21" spans="1:10">
      <c r="A21">
        <v>29</v>
      </c>
      <c r="B21">
        <v>49</v>
      </c>
      <c r="C21">
        <v>9</v>
      </c>
      <c r="D21">
        <v>1</v>
      </c>
      <c r="E21">
        <v>5</v>
      </c>
      <c r="F21">
        <v>6</v>
      </c>
      <c r="G21">
        <v>6</v>
      </c>
      <c r="H21">
        <v>11</v>
      </c>
      <c r="I21">
        <v>4</v>
      </c>
      <c r="J21">
        <v>11</v>
      </c>
    </row>
    <row r="22" spans="1:10">
      <c r="A22">
        <v>31</v>
      </c>
      <c r="B22">
        <v>47</v>
      </c>
      <c r="C22">
        <v>8</v>
      </c>
      <c r="D22">
        <v>1</v>
      </c>
      <c r="E22">
        <v>4</v>
      </c>
      <c r="F22">
        <v>6</v>
      </c>
      <c r="G22">
        <v>5</v>
      </c>
      <c r="H22">
        <v>7</v>
      </c>
      <c r="I22">
        <v>5</v>
      </c>
      <c r="J22">
        <v>14</v>
      </c>
    </row>
    <row r="23" spans="1:10">
      <c r="A23">
        <v>32</v>
      </c>
      <c r="B23">
        <v>35</v>
      </c>
      <c r="C23">
        <v>6</v>
      </c>
      <c r="D23">
        <v>1</v>
      </c>
      <c r="E23">
        <v>3</v>
      </c>
      <c r="F23">
        <v>4</v>
      </c>
      <c r="G23">
        <v>3</v>
      </c>
      <c r="H23">
        <v>8</v>
      </c>
      <c r="I23">
        <v>3</v>
      </c>
      <c r="J23">
        <v>9</v>
      </c>
    </row>
    <row r="24" spans="1:10">
      <c r="A24">
        <v>33</v>
      </c>
    </row>
    <row r="25" spans="1:10">
      <c r="A25">
        <v>34</v>
      </c>
      <c r="B25">
        <v>53</v>
      </c>
      <c r="C25">
        <v>13</v>
      </c>
      <c r="D25">
        <v>1</v>
      </c>
      <c r="E25">
        <v>8</v>
      </c>
      <c r="F25">
        <v>10</v>
      </c>
      <c r="G25">
        <v>9</v>
      </c>
      <c r="H25">
        <v>11</v>
      </c>
      <c r="I25">
        <v>4</v>
      </c>
      <c r="J25">
        <v>12</v>
      </c>
    </row>
    <row r="26" spans="1:10">
      <c r="A26">
        <v>35</v>
      </c>
      <c r="B26">
        <v>44</v>
      </c>
      <c r="C26">
        <v>7</v>
      </c>
      <c r="D26">
        <v>2</v>
      </c>
      <c r="E26">
        <v>3</v>
      </c>
      <c r="F26">
        <v>5</v>
      </c>
      <c r="G26">
        <v>4</v>
      </c>
      <c r="H26">
        <v>12</v>
      </c>
      <c r="I26">
        <v>4</v>
      </c>
      <c r="J26">
        <v>9</v>
      </c>
    </row>
    <row r="27" spans="1:10">
      <c r="A27">
        <v>38</v>
      </c>
      <c r="B27">
        <v>39</v>
      </c>
      <c r="C27">
        <v>8</v>
      </c>
      <c r="D27">
        <v>2</v>
      </c>
      <c r="E27">
        <v>3</v>
      </c>
      <c r="F27">
        <v>5</v>
      </c>
      <c r="G27">
        <v>5</v>
      </c>
      <c r="H27">
        <v>7</v>
      </c>
      <c r="I27">
        <v>3</v>
      </c>
      <c r="J27">
        <v>8</v>
      </c>
    </row>
    <row r="28" spans="1:10">
      <c r="A28">
        <v>39</v>
      </c>
      <c r="B28">
        <v>48</v>
      </c>
      <c r="C28">
        <v>14</v>
      </c>
      <c r="D28">
        <v>2</v>
      </c>
      <c r="E28">
        <v>5</v>
      </c>
      <c r="F28">
        <v>10</v>
      </c>
      <c r="G28">
        <v>6</v>
      </c>
      <c r="H28">
        <v>7</v>
      </c>
      <c r="I28">
        <v>3</v>
      </c>
      <c r="J28">
        <v>7</v>
      </c>
    </row>
    <row r="29" spans="1:10">
      <c r="A29">
        <v>41</v>
      </c>
      <c r="B29">
        <v>39</v>
      </c>
    </row>
    <row r="30" spans="1:10">
      <c r="A30">
        <v>42</v>
      </c>
      <c r="B30">
        <v>52</v>
      </c>
      <c r="C30">
        <v>14</v>
      </c>
      <c r="D30">
        <v>1</v>
      </c>
      <c r="E30">
        <v>3</v>
      </c>
      <c r="F30">
        <v>10</v>
      </c>
      <c r="G30">
        <v>7</v>
      </c>
      <c r="H30">
        <v>12</v>
      </c>
      <c r="I30">
        <v>3</v>
      </c>
      <c r="J30">
        <v>8</v>
      </c>
    </row>
    <row r="31" spans="1:10">
      <c r="A31">
        <v>46</v>
      </c>
      <c r="B31">
        <v>31</v>
      </c>
      <c r="C31">
        <v>6</v>
      </c>
      <c r="D31">
        <v>1</v>
      </c>
      <c r="E31">
        <v>3</v>
      </c>
      <c r="F31">
        <v>4</v>
      </c>
      <c r="G31">
        <v>3</v>
      </c>
      <c r="H31">
        <v>7</v>
      </c>
      <c r="I31">
        <v>3</v>
      </c>
      <c r="J31">
        <v>6</v>
      </c>
    </row>
    <row r="32" spans="1:10">
      <c r="A32">
        <v>48</v>
      </c>
      <c r="B32">
        <v>42</v>
      </c>
      <c r="C32">
        <v>12</v>
      </c>
      <c r="D32">
        <v>1</v>
      </c>
      <c r="E32">
        <v>3</v>
      </c>
      <c r="F32">
        <v>4</v>
      </c>
      <c r="G32">
        <v>3</v>
      </c>
      <c r="H32">
        <v>8</v>
      </c>
      <c r="I32">
        <v>5</v>
      </c>
      <c r="J32">
        <v>8</v>
      </c>
    </row>
    <row r="33" spans="1:10">
      <c r="A33">
        <v>49</v>
      </c>
      <c r="B33">
        <v>58</v>
      </c>
      <c r="C33">
        <v>10</v>
      </c>
      <c r="D33">
        <v>3</v>
      </c>
      <c r="E33">
        <v>7</v>
      </c>
      <c r="F33">
        <v>7</v>
      </c>
      <c r="G33">
        <v>6</v>
      </c>
      <c r="H33">
        <v>11</v>
      </c>
      <c r="I33">
        <v>3</v>
      </c>
      <c r="J33">
        <v>8</v>
      </c>
    </row>
    <row r="34" spans="1:10">
      <c r="A34">
        <v>50</v>
      </c>
      <c r="B34">
        <v>40</v>
      </c>
      <c r="C34">
        <v>4</v>
      </c>
      <c r="D34">
        <v>1</v>
      </c>
      <c r="E34">
        <v>5</v>
      </c>
      <c r="F34">
        <v>2</v>
      </c>
      <c r="G34">
        <v>3</v>
      </c>
      <c r="H34">
        <v>4</v>
      </c>
      <c r="I34">
        <v>1</v>
      </c>
      <c r="J34">
        <v>13</v>
      </c>
    </row>
    <row r="35" spans="1:10">
      <c r="A35">
        <v>51</v>
      </c>
      <c r="B35">
        <v>37</v>
      </c>
      <c r="C35">
        <v>6</v>
      </c>
      <c r="D35">
        <v>1</v>
      </c>
      <c r="E35">
        <v>3</v>
      </c>
      <c r="F35">
        <v>4</v>
      </c>
      <c r="G35">
        <v>3</v>
      </c>
      <c r="H35">
        <v>9</v>
      </c>
      <c r="I35">
        <v>3</v>
      </c>
      <c r="J35">
        <v>10</v>
      </c>
    </row>
    <row r="36" spans="1:10">
      <c r="A36">
        <v>53</v>
      </c>
      <c r="B36">
        <v>41</v>
      </c>
      <c r="C36">
        <v>11</v>
      </c>
      <c r="D36">
        <v>2</v>
      </c>
      <c r="E36">
        <v>3</v>
      </c>
      <c r="F36">
        <v>6</v>
      </c>
      <c r="G36">
        <v>4</v>
      </c>
      <c r="H36">
        <v>9</v>
      </c>
      <c r="I36">
        <v>4</v>
      </c>
      <c r="J36">
        <v>11</v>
      </c>
    </row>
    <row r="37" spans="1:10">
      <c r="A37">
        <v>56</v>
      </c>
      <c r="B37">
        <v>45</v>
      </c>
      <c r="C37">
        <v>12</v>
      </c>
      <c r="D37">
        <v>2</v>
      </c>
      <c r="E37">
        <v>4</v>
      </c>
      <c r="F37">
        <v>7</v>
      </c>
      <c r="G37">
        <v>3</v>
      </c>
      <c r="H37">
        <v>10</v>
      </c>
      <c r="I37">
        <v>3</v>
      </c>
      <c r="J37">
        <v>8</v>
      </c>
    </row>
    <row r="38" spans="1:10">
      <c r="A38">
        <v>57</v>
      </c>
      <c r="B38">
        <v>41</v>
      </c>
      <c r="C38">
        <v>10</v>
      </c>
      <c r="D38">
        <v>1</v>
      </c>
      <c r="E38">
        <v>3</v>
      </c>
      <c r="F38">
        <v>7</v>
      </c>
      <c r="G38">
        <v>3</v>
      </c>
      <c r="H38">
        <v>8</v>
      </c>
      <c r="I38">
        <v>4</v>
      </c>
      <c r="J38">
        <v>9</v>
      </c>
    </row>
    <row r="39" spans="1:10">
      <c r="A39">
        <v>58</v>
      </c>
      <c r="B39">
        <v>38</v>
      </c>
      <c r="C39">
        <v>6</v>
      </c>
      <c r="D39">
        <v>1</v>
      </c>
      <c r="E39">
        <v>3</v>
      </c>
      <c r="F39">
        <v>5</v>
      </c>
      <c r="G39">
        <v>4</v>
      </c>
      <c r="H39">
        <v>10</v>
      </c>
      <c r="I39">
        <v>3</v>
      </c>
      <c r="J39">
        <v>8</v>
      </c>
    </row>
    <row r="40" spans="1:10">
      <c r="A40">
        <v>60</v>
      </c>
      <c r="B40" s="26">
        <v>54</v>
      </c>
      <c r="C40" s="26">
        <v>6</v>
      </c>
      <c r="D40" s="26">
        <v>1</v>
      </c>
      <c r="E40" s="26">
        <v>3</v>
      </c>
      <c r="F40" s="26">
        <v>4</v>
      </c>
      <c r="G40" s="26">
        <v>7</v>
      </c>
      <c r="H40" s="26">
        <v>13</v>
      </c>
      <c r="I40" s="26">
        <v>8</v>
      </c>
      <c r="J40" s="26">
        <v>14</v>
      </c>
    </row>
    <row r="41" spans="1:10">
      <c r="A41">
        <v>61</v>
      </c>
      <c r="B41" s="26">
        <v>45</v>
      </c>
      <c r="C41" s="26">
        <v>10</v>
      </c>
      <c r="D41" s="26">
        <v>2</v>
      </c>
      <c r="E41" s="26">
        <v>3</v>
      </c>
      <c r="F41" s="26">
        <v>4</v>
      </c>
      <c r="G41" s="26">
        <v>7</v>
      </c>
      <c r="H41" s="26">
        <v>7</v>
      </c>
      <c r="I41" s="26">
        <v>3</v>
      </c>
      <c r="J41" s="26">
        <v>11</v>
      </c>
    </row>
    <row r="42" spans="1:10">
      <c r="A42">
        <v>62</v>
      </c>
      <c r="B42" s="26">
        <v>38</v>
      </c>
      <c r="C42" s="26">
        <v>7</v>
      </c>
      <c r="D42" s="26">
        <v>1</v>
      </c>
      <c r="E42" s="26">
        <v>3</v>
      </c>
      <c r="F42" s="26">
        <v>4</v>
      </c>
      <c r="G42" s="26">
        <v>5</v>
      </c>
      <c r="H42" s="26">
        <v>8</v>
      </c>
      <c r="I42" s="26">
        <v>4</v>
      </c>
      <c r="J42" s="26">
        <v>8</v>
      </c>
    </row>
    <row r="43" spans="1:10">
      <c r="A43">
        <v>64</v>
      </c>
      <c r="B43" s="26">
        <v>49</v>
      </c>
      <c r="C43" s="26">
        <v>17</v>
      </c>
      <c r="D43" s="26">
        <v>2</v>
      </c>
      <c r="E43" s="26">
        <v>3</v>
      </c>
      <c r="F43" s="26">
        <v>12</v>
      </c>
      <c r="G43" s="26">
        <v>4</v>
      </c>
      <c r="H43" s="26">
        <v>7</v>
      </c>
      <c r="I43" s="26">
        <v>3</v>
      </c>
      <c r="J43" s="26">
        <v>7</v>
      </c>
    </row>
    <row r="44" spans="1:10">
      <c r="A44">
        <v>65</v>
      </c>
      <c r="B44" s="26">
        <v>44</v>
      </c>
      <c r="C44" s="26">
        <v>9</v>
      </c>
      <c r="D44" s="26">
        <v>2</v>
      </c>
      <c r="E44" s="26">
        <v>3</v>
      </c>
      <c r="F44" s="26">
        <v>7</v>
      </c>
      <c r="G44" s="26">
        <v>7</v>
      </c>
      <c r="H44" s="26">
        <v>11</v>
      </c>
      <c r="I44" s="26">
        <v>4</v>
      </c>
      <c r="J44" s="26">
        <v>6</v>
      </c>
    </row>
    <row r="45" spans="1:10">
      <c r="A45">
        <v>66</v>
      </c>
      <c r="B45" s="26">
        <v>52</v>
      </c>
      <c r="C45" s="26">
        <v>13</v>
      </c>
      <c r="D45" s="26">
        <v>1</v>
      </c>
      <c r="E45" s="26">
        <v>5</v>
      </c>
      <c r="F45" s="26">
        <v>7</v>
      </c>
      <c r="G45" s="26">
        <v>6</v>
      </c>
      <c r="H45" s="26">
        <v>8</v>
      </c>
      <c r="I45" s="26">
        <v>4</v>
      </c>
      <c r="J45" s="26">
        <v>12</v>
      </c>
    </row>
    <row r="46" spans="1:10">
      <c r="A46">
        <v>67</v>
      </c>
      <c r="B46" s="26">
        <v>52</v>
      </c>
      <c r="C46" s="26">
        <v>13</v>
      </c>
      <c r="D46" s="26">
        <v>2</v>
      </c>
      <c r="E46" s="26">
        <v>4</v>
      </c>
      <c r="F46" s="26">
        <v>7</v>
      </c>
      <c r="G46" s="26">
        <v>5</v>
      </c>
      <c r="H46" s="26">
        <v>8</v>
      </c>
      <c r="I46" s="26">
        <v>5</v>
      </c>
      <c r="J46" s="26">
        <v>13</v>
      </c>
    </row>
    <row r="47" spans="1:10">
      <c r="A47">
        <v>68</v>
      </c>
      <c r="B47" s="26">
        <v>40</v>
      </c>
      <c r="C47" s="26">
        <v>6</v>
      </c>
      <c r="D47" s="26">
        <v>1</v>
      </c>
      <c r="E47" s="26">
        <v>3</v>
      </c>
      <c r="F47" s="26">
        <v>4</v>
      </c>
      <c r="G47" s="26">
        <v>4</v>
      </c>
      <c r="H47" s="26">
        <v>12</v>
      </c>
      <c r="I47" s="26">
        <v>3</v>
      </c>
      <c r="J47" s="26">
        <v>9</v>
      </c>
    </row>
    <row r="48" spans="1:10">
      <c r="A48">
        <v>69</v>
      </c>
      <c r="B48" s="26">
        <v>46</v>
      </c>
      <c r="C48" s="26">
        <v>10</v>
      </c>
      <c r="D48" s="26">
        <v>1</v>
      </c>
      <c r="E48" s="26">
        <v>3</v>
      </c>
      <c r="F48" s="26">
        <v>8</v>
      </c>
      <c r="G48" s="26">
        <v>5</v>
      </c>
      <c r="H48" s="26">
        <v>12</v>
      </c>
      <c r="I48" s="26">
        <v>4</v>
      </c>
      <c r="J48" s="26">
        <v>9</v>
      </c>
    </row>
    <row r="49" spans="1:10">
      <c r="A49">
        <v>70</v>
      </c>
      <c r="B49" s="26">
        <v>33</v>
      </c>
      <c r="C49" s="26">
        <v>6</v>
      </c>
      <c r="D49" s="26">
        <v>1</v>
      </c>
      <c r="E49" s="26">
        <v>3</v>
      </c>
      <c r="F49" s="26">
        <v>4</v>
      </c>
      <c r="G49" s="26">
        <v>3</v>
      </c>
      <c r="H49" s="26">
        <v>9</v>
      </c>
      <c r="I49" s="26">
        <v>3</v>
      </c>
      <c r="J49" s="26">
        <v>6</v>
      </c>
    </row>
    <row r="50" spans="1:10">
      <c r="A50">
        <v>72</v>
      </c>
      <c r="B50" s="26">
        <v>44</v>
      </c>
      <c r="C50" s="26">
        <v>8</v>
      </c>
      <c r="D50" s="26">
        <v>1</v>
      </c>
      <c r="E50" s="26">
        <v>3</v>
      </c>
      <c r="F50" s="26">
        <v>6</v>
      </c>
      <c r="G50" s="26">
        <v>3</v>
      </c>
      <c r="H50" s="26">
        <v>13</v>
      </c>
      <c r="I50" s="26">
        <v>3</v>
      </c>
      <c r="J50" s="26">
        <v>11</v>
      </c>
    </row>
    <row r="51" spans="1:10">
      <c r="A51">
        <v>73</v>
      </c>
      <c r="B51" s="26">
        <v>31</v>
      </c>
      <c r="C51" s="26">
        <v>8</v>
      </c>
      <c r="D51" s="26">
        <v>1</v>
      </c>
      <c r="E51" s="26">
        <v>0</v>
      </c>
      <c r="F51" s="26">
        <v>4</v>
      </c>
      <c r="G51" s="26">
        <v>6</v>
      </c>
      <c r="H51" s="26">
        <v>4</v>
      </c>
      <c r="I51" s="26">
        <v>3</v>
      </c>
      <c r="J51" s="26">
        <v>7</v>
      </c>
    </row>
    <row r="52" spans="1:10">
      <c r="A52">
        <v>76</v>
      </c>
      <c r="B52" s="26"/>
      <c r="C52" s="26"/>
      <c r="D52" s="26"/>
      <c r="E52" s="26"/>
      <c r="F52" s="26"/>
      <c r="G52" s="26"/>
      <c r="H52" s="26"/>
      <c r="I52" s="26"/>
      <c r="J52" s="26"/>
    </row>
    <row r="53" spans="1:10">
      <c r="A53">
        <v>78</v>
      </c>
      <c r="B53" s="26">
        <v>51</v>
      </c>
      <c r="C53" s="26">
        <v>9</v>
      </c>
      <c r="D53" s="26">
        <v>2</v>
      </c>
      <c r="E53" s="26">
        <v>4</v>
      </c>
      <c r="F53" s="26">
        <v>8</v>
      </c>
      <c r="G53" s="26">
        <v>6</v>
      </c>
      <c r="H53" s="26">
        <v>12</v>
      </c>
      <c r="I53" s="26">
        <v>3</v>
      </c>
      <c r="J53" s="26">
        <v>12</v>
      </c>
    </row>
    <row r="54" spans="1:10">
      <c r="A54">
        <v>79</v>
      </c>
      <c r="B54" s="26">
        <v>39</v>
      </c>
      <c r="C54" s="26">
        <v>5</v>
      </c>
      <c r="D54" s="26">
        <v>1</v>
      </c>
      <c r="E54" s="26">
        <v>3</v>
      </c>
      <c r="F54" s="26">
        <v>4</v>
      </c>
      <c r="G54" s="26">
        <v>3</v>
      </c>
      <c r="H54" s="26">
        <v>11</v>
      </c>
      <c r="I54" s="26">
        <v>6</v>
      </c>
      <c r="J54" s="26">
        <v>8</v>
      </c>
    </row>
    <row r="55" spans="1:10">
      <c r="A55">
        <v>82</v>
      </c>
      <c r="B55" s="26">
        <v>46</v>
      </c>
      <c r="C55" s="26">
        <v>10</v>
      </c>
      <c r="D55" s="26">
        <v>2</v>
      </c>
      <c r="E55" s="26">
        <v>3</v>
      </c>
      <c r="F55" s="26">
        <v>9</v>
      </c>
      <c r="G55" s="26">
        <v>8</v>
      </c>
      <c r="H55" s="26">
        <v>10</v>
      </c>
      <c r="I55" s="26">
        <v>3</v>
      </c>
      <c r="J55" s="26">
        <v>6</v>
      </c>
    </row>
    <row r="56" spans="1:10">
      <c r="A56">
        <v>85</v>
      </c>
      <c r="B56" s="26">
        <v>66</v>
      </c>
      <c r="C56" s="26">
        <v>15</v>
      </c>
      <c r="D56" s="26">
        <v>2</v>
      </c>
      <c r="E56" s="26">
        <v>4</v>
      </c>
      <c r="F56" s="26">
        <v>8</v>
      </c>
      <c r="G56" s="26">
        <v>9</v>
      </c>
      <c r="H56" s="26">
        <v>13</v>
      </c>
      <c r="I56" s="26">
        <v>5</v>
      </c>
      <c r="J56" s="26">
        <v>16</v>
      </c>
    </row>
    <row r="57" spans="1:10">
      <c r="A57">
        <v>1</v>
      </c>
    </row>
    <row r="58" spans="1:10">
      <c r="A58">
        <v>2</v>
      </c>
    </row>
    <row r="59" spans="1:10">
      <c r="A59">
        <v>3</v>
      </c>
    </row>
    <row r="60" spans="1:10">
      <c r="A60">
        <v>4</v>
      </c>
    </row>
    <row r="61" spans="1:10">
      <c r="A61">
        <v>5</v>
      </c>
    </row>
    <row r="62" spans="1:10">
      <c r="A62">
        <v>6</v>
      </c>
    </row>
    <row r="63" spans="1:10">
      <c r="A63">
        <v>7</v>
      </c>
    </row>
    <row r="64" spans="1:10">
      <c r="A64">
        <v>8</v>
      </c>
    </row>
    <row r="65" spans="1:1">
      <c r="A65">
        <v>9</v>
      </c>
    </row>
    <row r="66" spans="1:1">
      <c r="A66">
        <v>10</v>
      </c>
    </row>
    <row r="67" spans="1:1">
      <c r="A67">
        <v>11</v>
      </c>
    </row>
    <row r="68" spans="1:1">
      <c r="A68">
        <v>12</v>
      </c>
    </row>
    <row r="69" spans="1:1">
      <c r="A69">
        <v>13</v>
      </c>
    </row>
    <row r="70" spans="1:1">
      <c r="A70">
        <v>14</v>
      </c>
    </row>
    <row r="71" spans="1:1">
      <c r="A71">
        <v>15</v>
      </c>
    </row>
    <row r="72" spans="1:1">
      <c r="A72">
        <v>16</v>
      </c>
    </row>
    <row r="73" spans="1:1">
      <c r="A73">
        <v>17</v>
      </c>
    </row>
    <row r="74" spans="1:1">
      <c r="A74">
        <v>18</v>
      </c>
    </row>
    <row r="75" spans="1:1">
      <c r="A75">
        <v>19</v>
      </c>
    </row>
    <row r="76" spans="1:1">
      <c r="A76">
        <v>20</v>
      </c>
    </row>
    <row r="77" spans="1:1">
      <c r="A77">
        <v>21</v>
      </c>
    </row>
    <row r="78" spans="1:1">
      <c r="A78">
        <v>22</v>
      </c>
    </row>
    <row r="79" spans="1:1">
      <c r="A79">
        <v>23</v>
      </c>
    </row>
    <row r="80" spans="1:1">
      <c r="A80">
        <v>24</v>
      </c>
    </row>
    <row r="81" spans="1:1">
      <c r="A81">
        <v>25</v>
      </c>
    </row>
    <row r="82" spans="1:1">
      <c r="A82">
        <v>26</v>
      </c>
    </row>
    <row r="83" spans="1:1">
      <c r="A83">
        <v>27</v>
      </c>
    </row>
    <row r="84" spans="1:1">
      <c r="A84">
        <v>28</v>
      </c>
    </row>
    <row r="85" spans="1:1">
      <c r="A85">
        <v>29</v>
      </c>
    </row>
    <row r="86" spans="1:1">
      <c r="A86">
        <v>30</v>
      </c>
    </row>
    <row r="87" spans="1:1">
      <c r="A87">
        <v>31</v>
      </c>
    </row>
    <row r="88" spans="1:1">
      <c r="A88">
        <v>32</v>
      </c>
    </row>
    <row r="89" spans="1:1">
      <c r="A89">
        <v>33</v>
      </c>
    </row>
    <row r="90" spans="1:1">
      <c r="A90">
        <v>34</v>
      </c>
    </row>
    <row r="91" spans="1:1">
      <c r="A91">
        <v>35</v>
      </c>
    </row>
    <row r="92" spans="1:1">
      <c r="A92">
        <v>36</v>
      </c>
    </row>
    <row r="93" spans="1:1">
      <c r="A93">
        <v>37</v>
      </c>
    </row>
    <row r="94" spans="1:1">
      <c r="A94">
        <v>38</v>
      </c>
    </row>
    <row r="95" spans="1:1">
      <c r="A95">
        <v>39</v>
      </c>
    </row>
    <row r="96" spans="1:1">
      <c r="A96">
        <v>40</v>
      </c>
    </row>
    <row r="97" spans="1:1">
      <c r="A97">
        <v>41</v>
      </c>
    </row>
    <row r="98" spans="1:1">
      <c r="A98">
        <v>42</v>
      </c>
    </row>
    <row r="99" spans="1:1">
      <c r="A99">
        <v>43</v>
      </c>
    </row>
    <row r="100" spans="1:1">
      <c r="A100">
        <v>44</v>
      </c>
    </row>
    <row r="101" spans="1:1">
      <c r="A101">
        <v>45</v>
      </c>
    </row>
    <row r="102" spans="1:1">
      <c r="A102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E589-3A1D-48D6-B406-D468A61C5FC5}">
  <dimension ref="A1:D30"/>
  <sheetViews>
    <sheetView workbookViewId="0">
      <selection activeCell="G8" sqref="G8"/>
    </sheetView>
  </sheetViews>
  <sheetFormatPr defaultRowHeight="15"/>
  <sheetData>
    <row r="1" spans="1:4">
      <c r="D1" s="27" t="s">
        <v>101</v>
      </c>
    </row>
    <row r="2" spans="1:4">
      <c r="A2" s="30" t="s">
        <v>102</v>
      </c>
      <c r="B2" s="30" t="s">
        <v>103</v>
      </c>
      <c r="C2" s="30" t="s">
        <v>104</v>
      </c>
      <c r="D2" s="28" t="s">
        <v>105</v>
      </c>
    </row>
    <row r="3" spans="1:4">
      <c r="D3" s="29" t="s">
        <v>106</v>
      </c>
    </row>
    <row r="4" spans="1:4">
      <c r="A4" t="s">
        <v>107</v>
      </c>
      <c r="B4" t="s">
        <v>108</v>
      </c>
      <c r="C4" t="s">
        <v>109</v>
      </c>
      <c r="D4">
        <v>47</v>
      </c>
    </row>
    <row r="5" spans="1:4">
      <c r="A5" t="s">
        <v>110</v>
      </c>
      <c r="B5" t="s">
        <v>111</v>
      </c>
      <c r="C5" t="s">
        <v>109</v>
      </c>
      <c r="D5">
        <v>37</v>
      </c>
    </row>
    <row r="6" spans="1:4">
      <c r="A6" t="s">
        <v>112</v>
      </c>
      <c r="B6" t="s">
        <v>113</v>
      </c>
      <c r="C6" t="s">
        <v>114</v>
      </c>
      <c r="D6">
        <v>47</v>
      </c>
    </row>
    <row r="7" spans="1:4">
      <c r="A7" t="s">
        <v>115</v>
      </c>
      <c r="B7" t="s">
        <v>116</v>
      </c>
      <c r="C7" t="s">
        <v>114</v>
      </c>
      <c r="D7">
        <v>51</v>
      </c>
    </row>
    <row r="8" spans="1:4">
      <c r="A8" t="s">
        <v>117</v>
      </c>
      <c r="B8" t="s">
        <v>118</v>
      </c>
      <c r="C8" t="s">
        <v>114</v>
      </c>
      <c r="D8">
        <v>46</v>
      </c>
    </row>
    <row r="9" spans="1:4">
      <c r="A9" t="s">
        <v>119</v>
      </c>
      <c r="B9" t="s">
        <v>120</v>
      </c>
      <c r="C9" t="s">
        <v>114</v>
      </c>
      <c r="D9">
        <v>54</v>
      </c>
    </row>
    <row r="10" spans="1:4">
      <c r="A10" t="s">
        <v>121</v>
      </c>
      <c r="B10" t="s">
        <v>111</v>
      </c>
      <c r="C10" t="s">
        <v>109</v>
      </c>
      <c r="D10">
        <v>52</v>
      </c>
    </row>
    <row r="11" spans="1:4">
      <c r="A11" t="s">
        <v>122</v>
      </c>
      <c r="B11" t="s">
        <v>123</v>
      </c>
      <c r="C11" t="s">
        <v>109</v>
      </c>
      <c r="D11">
        <v>39</v>
      </c>
    </row>
    <row r="12" spans="1:4">
      <c r="A12" t="s">
        <v>124</v>
      </c>
      <c r="B12" t="s">
        <v>116</v>
      </c>
      <c r="C12" t="s">
        <v>109</v>
      </c>
      <c r="D12">
        <v>46</v>
      </c>
    </row>
    <row r="13" spans="1:4">
      <c r="A13" t="s">
        <v>125</v>
      </c>
      <c r="B13" t="s">
        <v>126</v>
      </c>
      <c r="C13" t="s">
        <v>114</v>
      </c>
      <c r="D13">
        <v>43</v>
      </c>
    </row>
    <row r="14" spans="1:4">
      <c r="A14" t="s">
        <v>127</v>
      </c>
      <c r="B14" t="s">
        <v>128</v>
      </c>
      <c r="C14" t="s">
        <v>114</v>
      </c>
      <c r="D14">
        <v>46</v>
      </c>
    </row>
    <row r="15" spans="1:4">
      <c r="A15" t="s">
        <v>129</v>
      </c>
      <c r="B15" t="s">
        <v>130</v>
      </c>
      <c r="C15" t="s">
        <v>109</v>
      </c>
      <c r="D15">
        <v>39</v>
      </c>
    </row>
    <row r="16" spans="1:4">
      <c r="A16" t="s">
        <v>131</v>
      </c>
      <c r="B16" t="s">
        <v>132</v>
      </c>
      <c r="C16" t="s">
        <v>109</v>
      </c>
      <c r="D16">
        <v>37</v>
      </c>
    </row>
    <row r="17" spans="1:4">
      <c r="A17" s="25" t="s">
        <v>133</v>
      </c>
      <c r="B17" s="25" t="s">
        <v>134</v>
      </c>
      <c r="C17" s="25" t="s">
        <v>109</v>
      </c>
      <c r="D17">
        <v>47</v>
      </c>
    </row>
    <row r="18" spans="1:4">
      <c r="A18" s="25" t="s">
        <v>135</v>
      </c>
      <c r="B18" s="25" t="s">
        <v>134</v>
      </c>
      <c r="C18" s="25" t="s">
        <v>114</v>
      </c>
      <c r="D18">
        <v>47</v>
      </c>
    </row>
    <row r="19" spans="1:4">
      <c r="A19" s="25" t="s">
        <v>136</v>
      </c>
      <c r="B19" s="25" t="s">
        <v>116</v>
      </c>
      <c r="C19" s="25" t="s">
        <v>109</v>
      </c>
      <c r="D19">
        <v>36</v>
      </c>
    </row>
    <row r="20" spans="1:4">
      <c r="A20" t="s">
        <v>137</v>
      </c>
      <c r="B20" t="s">
        <v>128</v>
      </c>
      <c r="C20" t="s">
        <v>114</v>
      </c>
      <c r="D20">
        <v>47</v>
      </c>
    </row>
    <row r="21" spans="1:4">
      <c r="A21" s="25" t="s">
        <v>138</v>
      </c>
      <c r="B21" s="25" t="s">
        <v>123</v>
      </c>
      <c r="C21" s="25" t="s">
        <v>114</v>
      </c>
      <c r="D21">
        <v>39</v>
      </c>
    </row>
    <row r="22" spans="1:4">
      <c r="A22" s="25" t="s">
        <v>139</v>
      </c>
      <c r="B22" s="25" t="s">
        <v>140</v>
      </c>
      <c r="C22" s="25" t="s">
        <v>109</v>
      </c>
      <c r="D22">
        <v>44</v>
      </c>
    </row>
    <row r="23" spans="1:4">
      <c r="A23" t="s">
        <v>141</v>
      </c>
      <c r="B23" t="s">
        <v>142</v>
      </c>
      <c r="C23" t="s">
        <v>114</v>
      </c>
    </row>
    <row r="24" spans="1:4">
      <c r="A24" t="s">
        <v>143</v>
      </c>
      <c r="B24" t="s">
        <v>144</v>
      </c>
      <c r="C24" t="s">
        <v>109</v>
      </c>
    </row>
    <row r="25" spans="1:4">
      <c r="A25" t="s">
        <v>145</v>
      </c>
      <c r="B25" t="s">
        <v>146</v>
      </c>
      <c r="C25" t="s">
        <v>114</v>
      </c>
    </row>
    <row r="26" spans="1:4">
      <c r="A26" t="s">
        <v>147</v>
      </c>
      <c r="B26" t="s">
        <v>148</v>
      </c>
      <c r="C26" t="s">
        <v>114</v>
      </c>
    </row>
    <row r="27" spans="1:4">
      <c r="A27" t="s">
        <v>149</v>
      </c>
      <c r="B27" t="s">
        <v>134</v>
      </c>
      <c r="C27" t="s">
        <v>109</v>
      </c>
    </row>
    <row r="28" spans="1:4">
      <c r="A28" t="s">
        <v>150</v>
      </c>
      <c r="B28" t="s">
        <v>118</v>
      </c>
      <c r="C28" t="s">
        <v>114</v>
      </c>
    </row>
    <row r="29" spans="1:4">
      <c r="A29" t="s">
        <v>151</v>
      </c>
      <c r="B29" t="s">
        <v>128</v>
      </c>
      <c r="C29" t="s">
        <v>114</v>
      </c>
    </row>
    <row r="30" spans="1:4">
      <c r="A30" t="s">
        <v>152</v>
      </c>
      <c r="B30" t="s">
        <v>120</v>
      </c>
      <c r="C30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9ADCA-942A-4DD7-A0FC-11AD2B9EC8C3}">
  <dimension ref="A1:AX26"/>
  <sheetViews>
    <sheetView tabSelected="1" workbookViewId="0">
      <selection activeCell="B1" sqref="B1:B1048576"/>
    </sheetView>
  </sheetViews>
  <sheetFormatPr defaultRowHeight="15"/>
  <cols>
    <col min="2" max="2" width="19.85546875" customWidth="1"/>
    <col min="5" max="5" width="17.42578125" customWidth="1"/>
    <col min="6" max="6" width="18.140625" customWidth="1"/>
    <col min="7" max="7" width="16.85546875" customWidth="1"/>
    <col min="8" max="8" width="17.5703125" customWidth="1"/>
    <col min="9" max="9" width="48.5703125" style="31" customWidth="1"/>
    <col min="10" max="10" width="17.5703125" customWidth="1"/>
    <col min="11" max="11" width="17.7109375" customWidth="1"/>
    <col min="12" max="12" width="26.42578125" customWidth="1"/>
    <col min="13" max="13" width="21" customWidth="1"/>
    <col min="14" max="14" width="20.7109375" customWidth="1"/>
    <col min="15" max="15" width="15.7109375" customWidth="1"/>
    <col min="17" max="17" width="40.5703125" style="31" customWidth="1"/>
    <col min="18" max="18" width="49.140625" customWidth="1"/>
    <col min="19" max="20" width="54.28515625" customWidth="1"/>
    <col min="21" max="21" width="47.5703125" style="31" customWidth="1"/>
    <col min="22" max="22" width="19.140625" customWidth="1"/>
    <col min="23" max="23" width="26.28515625" customWidth="1"/>
    <col min="24" max="24" width="33.42578125" customWidth="1"/>
    <col min="25" max="25" width="21.28515625" customWidth="1"/>
    <col min="26" max="26" width="27.140625" customWidth="1"/>
    <col min="27" max="27" width="24.42578125" customWidth="1"/>
    <col min="28" max="28" width="15.140625" customWidth="1"/>
    <col min="29" max="29" width="25.140625" customWidth="1"/>
    <col min="30" max="31" width="26.42578125" customWidth="1"/>
    <col min="32" max="32" width="16.5703125" customWidth="1"/>
    <col min="33" max="33" width="22.85546875" customWidth="1"/>
    <col min="34" max="34" width="22" customWidth="1"/>
    <col min="35" max="35" width="13.140625" customWidth="1"/>
    <col min="36" max="36" width="13.42578125" customWidth="1"/>
    <col min="37" max="37" width="15.28515625" customWidth="1"/>
    <col min="38" max="38" width="31.42578125" customWidth="1"/>
    <col min="39" max="39" width="15.7109375" customWidth="1"/>
    <col min="40" max="40" width="17.140625" customWidth="1"/>
    <col min="41" max="41" width="18.85546875" customWidth="1"/>
    <col min="42" max="42" width="19.28515625" customWidth="1"/>
    <col min="43" max="43" width="15.5703125" customWidth="1"/>
    <col min="44" max="44" width="37.85546875" customWidth="1"/>
    <col min="45" max="45" width="21.42578125" customWidth="1"/>
    <col min="46" max="46" width="19.5703125" customWidth="1"/>
    <col min="50" max="50" width="37.5703125" customWidth="1"/>
  </cols>
  <sheetData>
    <row r="1" spans="1:50" ht="15" customHeight="1">
      <c r="A1" t="s">
        <v>153</v>
      </c>
      <c r="B1" s="25" t="s">
        <v>154</v>
      </c>
      <c r="C1" t="s">
        <v>155</v>
      </c>
      <c r="E1" t="s">
        <v>156</v>
      </c>
      <c r="F1" t="s">
        <v>157</v>
      </c>
      <c r="G1" t="s">
        <v>158</v>
      </c>
      <c r="H1" t="s">
        <v>159</v>
      </c>
      <c r="I1" s="31" t="s">
        <v>160</v>
      </c>
      <c r="J1" s="32" t="s">
        <v>161</v>
      </c>
      <c r="K1" s="33" t="s">
        <v>162</v>
      </c>
      <c r="L1" s="34" t="s">
        <v>163</v>
      </c>
      <c r="M1" s="35" t="s">
        <v>164</v>
      </c>
      <c r="N1" s="35" t="s">
        <v>165</v>
      </c>
      <c r="O1" s="25" t="s">
        <v>166</v>
      </c>
      <c r="P1" t="s">
        <v>167</v>
      </c>
      <c r="Q1" s="31" t="s">
        <v>168</v>
      </c>
      <c r="R1" s="36" t="s">
        <v>169</v>
      </c>
      <c r="S1" s="36" t="s">
        <v>170</v>
      </c>
      <c r="T1" s="26" t="s">
        <v>171</v>
      </c>
      <c r="U1" s="31" t="s">
        <v>172</v>
      </c>
      <c r="V1" s="33" t="s">
        <v>173</v>
      </c>
      <c r="W1" s="33" t="s">
        <v>174</v>
      </c>
      <c r="X1" s="33" t="s">
        <v>175</v>
      </c>
      <c r="Y1" s="33" t="s">
        <v>176</v>
      </c>
      <c r="Z1" s="35" t="s">
        <v>177</v>
      </c>
      <c r="AA1" s="37" t="s">
        <v>178</v>
      </c>
      <c r="AB1" s="37" t="s">
        <v>179</v>
      </c>
      <c r="AC1" s="38" t="s">
        <v>180</v>
      </c>
      <c r="AD1" s="38" t="s">
        <v>181</v>
      </c>
      <c r="AE1" s="38" t="s">
        <v>182</v>
      </c>
      <c r="AF1" s="39" t="s">
        <v>183</v>
      </c>
      <c r="AG1" s="39" t="s">
        <v>184</v>
      </c>
      <c r="AH1" s="39" t="s">
        <v>185</v>
      </c>
      <c r="AI1" s="39" t="s">
        <v>186</v>
      </c>
      <c r="AJ1" s="39" t="s">
        <v>187</v>
      </c>
      <c r="AK1" s="39" t="s">
        <v>188</v>
      </c>
      <c r="AL1" s="39" t="s">
        <v>189</v>
      </c>
      <c r="AM1" s="40" t="s">
        <v>190</v>
      </c>
      <c r="AN1" s="40" t="s">
        <v>191</v>
      </c>
      <c r="AO1" s="40" t="s">
        <v>192</v>
      </c>
      <c r="AP1" s="36" t="s">
        <v>193</v>
      </c>
      <c r="AQ1" s="36" t="s">
        <v>194</v>
      </c>
      <c r="AR1" s="36" t="s">
        <v>195</v>
      </c>
      <c r="AS1" s="36" t="s">
        <v>196</v>
      </c>
      <c r="AT1" s="36" t="s">
        <v>197</v>
      </c>
      <c r="AX1" s="41" t="s">
        <v>16</v>
      </c>
    </row>
    <row r="2" spans="1:50">
      <c r="A2" t="s">
        <v>198</v>
      </c>
      <c r="B2">
        <v>5.66</v>
      </c>
      <c r="C2" t="s">
        <v>199</v>
      </c>
      <c r="E2">
        <v>2000</v>
      </c>
      <c r="F2">
        <v>700</v>
      </c>
      <c r="G2">
        <v>11</v>
      </c>
      <c r="H2">
        <v>11</v>
      </c>
      <c r="J2">
        <v>1</v>
      </c>
      <c r="K2">
        <v>1</v>
      </c>
      <c r="L2">
        <v>1</v>
      </c>
      <c r="M2">
        <v>1</v>
      </c>
      <c r="N2">
        <v>1</v>
      </c>
      <c r="O2">
        <v>2</v>
      </c>
      <c r="P2">
        <f t="shared" ref="P2:P19" si="0">SUM(J2:O2)</f>
        <v>7</v>
      </c>
      <c r="R2">
        <v>0</v>
      </c>
      <c r="S2">
        <v>0</v>
      </c>
      <c r="T2">
        <f t="shared" ref="T2:T19" si="1">SUM(R2:S2)</f>
        <v>0</v>
      </c>
      <c r="V2">
        <v>1</v>
      </c>
      <c r="W2">
        <v>2</v>
      </c>
      <c r="X2">
        <v>1</v>
      </c>
      <c r="Y2">
        <v>1</v>
      </c>
      <c r="Z2">
        <v>2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2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f>SUM(V2:AT2)</f>
        <v>28</v>
      </c>
      <c r="AV2">
        <v>7</v>
      </c>
      <c r="AW2">
        <v>0</v>
      </c>
      <c r="AX2">
        <f>SUM(AU2:AW2)</f>
        <v>35</v>
      </c>
    </row>
    <row r="3" spans="1:50">
      <c r="A3" t="s">
        <v>200</v>
      </c>
      <c r="B3">
        <v>6.0833000000000004</v>
      </c>
      <c r="C3" t="s">
        <v>199</v>
      </c>
      <c r="E3">
        <v>2130</v>
      </c>
      <c r="F3">
        <v>730</v>
      </c>
      <c r="G3">
        <v>10</v>
      </c>
      <c r="H3">
        <v>11</v>
      </c>
      <c r="J3">
        <v>1</v>
      </c>
      <c r="K3">
        <v>1</v>
      </c>
      <c r="L3">
        <v>1</v>
      </c>
      <c r="M3">
        <v>1</v>
      </c>
      <c r="N3">
        <v>1</v>
      </c>
      <c r="O3">
        <v>2</v>
      </c>
      <c r="P3">
        <f t="shared" si="0"/>
        <v>7</v>
      </c>
      <c r="R3">
        <v>0</v>
      </c>
      <c r="S3">
        <v>1</v>
      </c>
      <c r="T3">
        <f t="shared" si="1"/>
        <v>1</v>
      </c>
      <c r="V3">
        <v>1</v>
      </c>
      <c r="W3">
        <v>2</v>
      </c>
      <c r="X3">
        <v>3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3</v>
      </c>
      <c r="AH3">
        <v>1</v>
      </c>
      <c r="AI3">
        <v>1</v>
      </c>
      <c r="AJ3">
        <v>1</v>
      </c>
      <c r="AK3">
        <v>1</v>
      </c>
      <c r="AL3">
        <v>1</v>
      </c>
      <c r="AM3">
        <v>2</v>
      </c>
      <c r="AN3">
        <v>1</v>
      </c>
      <c r="AO3">
        <v>1</v>
      </c>
      <c r="AP3">
        <v>2</v>
      </c>
      <c r="AQ3">
        <v>2</v>
      </c>
      <c r="AR3">
        <v>2</v>
      </c>
      <c r="AS3">
        <v>1</v>
      </c>
      <c r="AT3">
        <v>1</v>
      </c>
      <c r="AU3">
        <f t="shared" ref="AU3:AU19" si="2">SUM(V3:AT3)</f>
        <v>34</v>
      </c>
      <c r="AV3">
        <v>7</v>
      </c>
      <c r="AW3">
        <v>1</v>
      </c>
      <c r="AX3">
        <f t="shared" ref="AX3:AX19" si="3">SUM(AU3:AW3)</f>
        <v>42</v>
      </c>
    </row>
    <row r="4" spans="1:50">
      <c r="A4" t="s">
        <v>201</v>
      </c>
      <c r="B4">
        <v>6</v>
      </c>
      <c r="C4" t="s">
        <v>199</v>
      </c>
      <c r="E4">
        <v>2000</v>
      </c>
      <c r="F4">
        <v>730</v>
      </c>
      <c r="G4">
        <v>10.5</v>
      </c>
      <c r="H4">
        <v>10.5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f t="shared" si="0"/>
        <v>6</v>
      </c>
      <c r="R4">
        <v>0</v>
      </c>
      <c r="S4">
        <v>0</v>
      </c>
      <c r="T4">
        <f t="shared" si="1"/>
        <v>0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2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f t="shared" si="2"/>
        <v>26</v>
      </c>
      <c r="AV4">
        <v>6</v>
      </c>
      <c r="AW4">
        <v>0</v>
      </c>
      <c r="AX4">
        <f t="shared" si="3"/>
        <v>32</v>
      </c>
    </row>
    <row r="5" spans="1:50">
      <c r="A5" t="s">
        <v>202</v>
      </c>
      <c r="B5">
        <v>6.5</v>
      </c>
      <c r="C5" t="s">
        <v>199</v>
      </c>
      <c r="E5">
        <v>2000</v>
      </c>
      <c r="F5">
        <v>700</v>
      </c>
      <c r="G5">
        <v>10</v>
      </c>
      <c r="H5">
        <v>10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f t="shared" si="0"/>
        <v>6</v>
      </c>
      <c r="R5">
        <v>0</v>
      </c>
      <c r="S5">
        <v>0</v>
      </c>
      <c r="T5">
        <f t="shared" si="1"/>
        <v>0</v>
      </c>
      <c r="V5">
        <v>1</v>
      </c>
      <c r="W5">
        <v>2</v>
      </c>
      <c r="X5">
        <v>3</v>
      </c>
      <c r="Y5">
        <v>1</v>
      </c>
      <c r="Z5">
        <v>1</v>
      </c>
      <c r="AA5">
        <v>1</v>
      </c>
      <c r="AB5">
        <v>1</v>
      </c>
      <c r="AC5">
        <v>3</v>
      </c>
      <c r="AD5">
        <v>3</v>
      </c>
      <c r="AE5">
        <v>2</v>
      </c>
      <c r="AF5">
        <v>1</v>
      </c>
      <c r="AG5">
        <v>2</v>
      </c>
      <c r="AH5">
        <v>1</v>
      </c>
      <c r="AI5">
        <v>1</v>
      </c>
      <c r="AJ5">
        <v>2</v>
      </c>
      <c r="AK5">
        <v>1</v>
      </c>
      <c r="AL5">
        <v>1</v>
      </c>
      <c r="AM5">
        <v>1</v>
      </c>
      <c r="AN5">
        <v>1</v>
      </c>
      <c r="AO5">
        <v>2</v>
      </c>
      <c r="AP5">
        <v>1</v>
      </c>
      <c r="AQ5">
        <v>1</v>
      </c>
      <c r="AR5">
        <v>1</v>
      </c>
      <c r="AS5">
        <v>1</v>
      </c>
      <c r="AT5">
        <v>1</v>
      </c>
      <c r="AU5">
        <f t="shared" si="2"/>
        <v>36</v>
      </c>
      <c r="AV5">
        <v>6</v>
      </c>
      <c r="AW5">
        <v>0</v>
      </c>
      <c r="AX5">
        <f t="shared" si="3"/>
        <v>42</v>
      </c>
    </row>
    <row r="6" spans="1:50">
      <c r="A6" t="s">
        <v>203</v>
      </c>
      <c r="B6">
        <v>5.8330000000000002</v>
      </c>
      <c r="C6" t="s">
        <v>199</v>
      </c>
      <c r="E6">
        <v>2000</v>
      </c>
      <c r="F6">
        <v>730</v>
      </c>
      <c r="G6">
        <v>10.5</v>
      </c>
      <c r="H6">
        <v>10.5</v>
      </c>
      <c r="J6">
        <v>1</v>
      </c>
      <c r="K6">
        <v>2</v>
      </c>
      <c r="L6">
        <v>1</v>
      </c>
      <c r="M6">
        <v>1</v>
      </c>
      <c r="N6">
        <v>1</v>
      </c>
      <c r="O6">
        <v>1</v>
      </c>
      <c r="P6">
        <f t="shared" si="0"/>
        <v>7</v>
      </c>
      <c r="R6">
        <v>0</v>
      </c>
      <c r="S6">
        <v>1</v>
      </c>
      <c r="T6">
        <f t="shared" si="1"/>
        <v>1</v>
      </c>
      <c r="V6">
        <v>3</v>
      </c>
      <c r="W6">
        <v>1</v>
      </c>
      <c r="X6">
        <v>1</v>
      </c>
      <c r="Y6">
        <v>1</v>
      </c>
      <c r="Z6">
        <v>1</v>
      </c>
      <c r="AA6">
        <v>2</v>
      </c>
      <c r="AB6">
        <v>1</v>
      </c>
      <c r="AC6">
        <v>2</v>
      </c>
      <c r="AD6">
        <v>3</v>
      </c>
      <c r="AE6">
        <v>1</v>
      </c>
      <c r="AF6">
        <v>3</v>
      </c>
      <c r="AG6">
        <v>1</v>
      </c>
      <c r="AH6">
        <v>1</v>
      </c>
      <c r="AI6">
        <v>2</v>
      </c>
      <c r="AJ6">
        <v>1</v>
      </c>
      <c r="AK6">
        <v>2</v>
      </c>
      <c r="AL6">
        <v>1</v>
      </c>
      <c r="AM6">
        <v>1</v>
      </c>
      <c r="AN6">
        <v>1</v>
      </c>
      <c r="AO6">
        <v>1</v>
      </c>
      <c r="AP6">
        <v>1</v>
      </c>
      <c r="AQ6">
        <v>2</v>
      </c>
      <c r="AR6">
        <v>1</v>
      </c>
      <c r="AS6">
        <v>1</v>
      </c>
      <c r="AT6">
        <v>1</v>
      </c>
      <c r="AU6">
        <f t="shared" si="2"/>
        <v>36</v>
      </c>
      <c r="AV6">
        <v>7</v>
      </c>
      <c r="AW6">
        <v>1</v>
      </c>
      <c r="AX6">
        <f t="shared" si="3"/>
        <v>44</v>
      </c>
    </row>
    <row r="7" spans="1:50">
      <c r="A7" t="s">
        <v>204</v>
      </c>
      <c r="B7">
        <v>5.8330000000000002</v>
      </c>
      <c r="C7" t="s">
        <v>199</v>
      </c>
      <c r="E7">
        <v>2000</v>
      </c>
      <c r="F7">
        <v>730</v>
      </c>
      <c r="G7">
        <v>10.5</v>
      </c>
      <c r="H7">
        <v>10.5</v>
      </c>
      <c r="J7">
        <v>1</v>
      </c>
      <c r="K7">
        <v>3</v>
      </c>
      <c r="L7">
        <v>3</v>
      </c>
      <c r="M7">
        <v>1</v>
      </c>
      <c r="N7">
        <v>1</v>
      </c>
      <c r="O7">
        <v>1</v>
      </c>
      <c r="P7">
        <f t="shared" si="0"/>
        <v>10</v>
      </c>
      <c r="R7">
        <v>0</v>
      </c>
      <c r="S7">
        <v>2</v>
      </c>
      <c r="T7">
        <f t="shared" si="1"/>
        <v>2</v>
      </c>
      <c r="V7">
        <v>3</v>
      </c>
      <c r="W7">
        <v>1</v>
      </c>
      <c r="X7">
        <v>3</v>
      </c>
      <c r="Y7">
        <v>2</v>
      </c>
      <c r="Z7">
        <v>1</v>
      </c>
      <c r="AA7">
        <v>3</v>
      </c>
      <c r="AB7">
        <v>1</v>
      </c>
      <c r="AC7">
        <v>3</v>
      </c>
      <c r="AD7">
        <v>3</v>
      </c>
      <c r="AE7">
        <v>1</v>
      </c>
      <c r="AF7">
        <v>1</v>
      </c>
      <c r="AG7">
        <v>3</v>
      </c>
      <c r="AH7">
        <v>1</v>
      </c>
      <c r="AI7">
        <v>1</v>
      </c>
      <c r="AJ7">
        <v>3</v>
      </c>
      <c r="AK7">
        <v>2</v>
      </c>
      <c r="AL7">
        <v>2</v>
      </c>
      <c r="AM7">
        <v>2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f t="shared" si="2"/>
        <v>43</v>
      </c>
      <c r="AV7">
        <v>10</v>
      </c>
      <c r="AW7">
        <v>2</v>
      </c>
      <c r="AX7">
        <f t="shared" si="3"/>
        <v>55</v>
      </c>
    </row>
    <row r="8" spans="1:50">
      <c r="A8" t="s">
        <v>205</v>
      </c>
      <c r="B8">
        <v>6.3330000000000002</v>
      </c>
      <c r="C8" t="s">
        <v>199</v>
      </c>
      <c r="E8">
        <v>1930</v>
      </c>
      <c r="F8">
        <v>730</v>
      </c>
      <c r="G8">
        <v>11</v>
      </c>
      <c r="H8">
        <v>11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f t="shared" si="0"/>
        <v>6</v>
      </c>
      <c r="R8">
        <v>0</v>
      </c>
      <c r="S8">
        <v>0</v>
      </c>
      <c r="T8">
        <f t="shared" si="1"/>
        <v>0</v>
      </c>
      <c r="V8">
        <v>2</v>
      </c>
      <c r="W8">
        <v>1</v>
      </c>
      <c r="X8">
        <v>3</v>
      </c>
      <c r="Y8">
        <v>3</v>
      </c>
      <c r="Z8">
        <v>1</v>
      </c>
      <c r="AA8">
        <v>3</v>
      </c>
      <c r="AB8">
        <v>1</v>
      </c>
      <c r="AC8">
        <v>3</v>
      </c>
      <c r="AD8">
        <v>3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f t="shared" si="2"/>
        <v>36</v>
      </c>
      <c r="AV8">
        <v>6</v>
      </c>
      <c r="AW8">
        <v>0</v>
      </c>
      <c r="AX8">
        <f t="shared" si="3"/>
        <v>42</v>
      </c>
    </row>
    <row r="9" spans="1:50">
      <c r="A9" t="s">
        <v>206</v>
      </c>
      <c r="B9">
        <v>6.3330000000000002</v>
      </c>
      <c r="C9" t="s">
        <v>199</v>
      </c>
      <c r="E9">
        <v>1930</v>
      </c>
      <c r="F9">
        <v>730</v>
      </c>
      <c r="G9">
        <v>11</v>
      </c>
      <c r="H9">
        <v>11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f t="shared" si="0"/>
        <v>6</v>
      </c>
      <c r="R9">
        <v>0</v>
      </c>
      <c r="S9">
        <v>0</v>
      </c>
      <c r="T9">
        <f t="shared" si="1"/>
        <v>0</v>
      </c>
      <c r="V9">
        <v>2</v>
      </c>
      <c r="W9">
        <v>1</v>
      </c>
      <c r="X9">
        <v>3</v>
      </c>
      <c r="Y9">
        <v>2</v>
      </c>
      <c r="Z9">
        <v>1</v>
      </c>
      <c r="AA9">
        <v>1</v>
      </c>
      <c r="AB9">
        <v>1</v>
      </c>
      <c r="AC9">
        <v>3</v>
      </c>
      <c r="AD9">
        <v>3</v>
      </c>
      <c r="AE9">
        <v>1</v>
      </c>
      <c r="AF9">
        <v>2</v>
      </c>
      <c r="AG9">
        <v>2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f t="shared" si="2"/>
        <v>35</v>
      </c>
      <c r="AV9">
        <v>6</v>
      </c>
      <c r="AW9">
        <v>0</v>
      </c>
      <c r="AX9">
        <f t="shared" si="3"/>
        <v>41</v>
      </c>
    </row>
    <row r="10" spans="1:50">
      <c r="A10" t="s">
        <v>207</v>
      </c>
      <c r="B10">
        <v>5.9166999999999996</v>
      </c>
      <c r="C10" t="s">
        <v>199</v>
      </c>
      <c r="E10">
        <v>1830</v>
      </c>
      <c r="F10">
        <v>630</v>
      </c>
      <c r="G10">
        <v>12</v>
      </c>
      <c r="H10">
        <v>12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f t="shared" si="0"/>
        <v>6</v>
      </c>
      <c r="R10">
        <v>0</v>
      </c>
      <c r="S10">
        <v>2</v>
      </c>
      <c r="T10">
        <f t="shared" si="1"/>
        <v>2</v>
      </c>
      <c r="V10">
        <v>1</v>
      </c>
      <c r="W10">
        <v>1</v>
      </c>
      <c r="X10">
        <v>1</v>
      </c>
      <c r="Y10">
        <v>1</v>
      </c>
      <c r="Z10">
        <v>1</v>
      </c>
      <c r="AA10">
        <v>2</v>
      </c>
      <c r="AB10">
        <v>1</v>
      </c>
      <c r="AC10">
        <v>1</v>
      </c>
      <c r="AD10">
        <v>1</v>
      </c>
      <c r="AE10">
        <v>1</v>
      </c>
      <c r="AF10">
        <v>2</v>
      </c>
      <c r="AG10">
        <v>3</v>
      </c>
      <c r="AH10">
        <v>1</v>
      </c>
      <c r="AI10">
        <v>3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f t="shared" si="2"/>
        <v>31</v>
      </c>
      <c r="AV10">
        <v>6</v>
      </c>
      <c r="AW10">
        <v>2</v>
      </c>
      <c r="AX10">
        <f t="shared" si="3"/>
        <v>39</v>
      </c>
    </row>
    <row r="11" spans="1:50">
      <c r="A11" t="s">
        <v>208</v>
      </c>
      <c r="B11">
        <v>5.5</v>
      </c>
      <c r="C11" t="s">
        <v>199</v>
      </c>
      <c r="E11">
        <v>2000</v>
      </c>
      <c r="F11">
        <v>800</v>
      </c>
      <c r="G11">
        <v>12</v>
      </c>
      <c r="H11">
        <v>11</v>
      </c>
      <c r="J11">
        <v>1</v>
      </c>
      <c r="K11">
        <v>3</v>
      </c>
      <c r="L11">
        <v>1</v>
      </c>
      <c r="M11">
        <v>1</v>
      </c>
      <c r="N11">
        <v>1</v>
      </c>
      <c r="O11">
        <v>2</v>
      </c>
      <c r="P11">
        <f t="shared" si="0"/>
        <v>9</v>
      </c>
      <c r="R11">
        <v>0</v>
      </c>
      <c r="S11">
        <v>0</v>
      </c>
      <c r="T11">
        <f t="shared" si="1"/>
        <v>0</v>
      </c>
      <c r="V11">
        <v>2</v>
      </c>
      <c r="W11">
        <v>3</v>
      </c>
      <c r="X11">
        <v>1</v>
      </c>
      <c r="Y11">
        <v>2</v>
      </c>
      <c r="Z11">
        <v>1</v>
      </c>
      <c r="AA11">
        <v>2</v>
      </c>
      <c r="AB11">
        <v>1</v>
      </c>
      <c r="AC11">
        <v>2</v>
      </c>
      <c r="AD11">
        <v>1</v>
      </c>
      <c r="AE11">
        <v>1</v>
      </c>
      <c r="AF11">
        <v>3</v>
      </c>
      <c r="AG11">
        <v>3</v>
      </c>
      <c r="AH11">
        <v>1</v>
      </c>
      <c r="AI11">
        <v>2</v>
      </c>
      <c r="AJ11">
        <v>3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2</v>
      </c>
      <c r="AQ11">
        <v>3</v>
      </c>
      <c r="AR11">
        <v>1</v>
      </c>
      <c r="AS11">
        <v>1</v>
      </c>
      <c r="AT11">
        <v>2</v>
      </c>
      <c r="AU11">
        <f t="shared" si="2"/>
        <v>42</v>
      </c>
      <c r="AV11">
        <v>9</v>
      </c>
      <c r="AW11">
        <v>0</v>
      </c>
      <c r="AX11">
        <f t="shared" si="3"/>
        <v>51</v>
      </c>
    </row>
    <row r="12" spans="1:50">
      <c r="A12" t="s">
        <v>209</v>
      </c>
      <c r="B12">
        <v>5.5</v>
      </c>
      <c r="C12" t="s">
        <v>199</v>
      </c>
      <c r="E12">
        <v>2000</v>
      </c>
      <c r="F12">
        <v>700</v>
      </c>
      <c r="G12">
        <v>11</v>
      </c>
      <c r="H12">
        <v>11</v>
      </c>
      <c r="J12">
        <v>1</v>
      </c>
      <c r="K12">
        <v>1</v>
      </c>
      <c r="L12">
        <v>3</v>
      </c>
      <c r="M12">
        <v>3</v>
      </c>
      <c r="N12">
        <v>1</v>
      </c>
      <c r="O12">
        <v>1</v>
      </c>
      <c r="P12">
        <f t="shared" si="0"/>
        <v>10</v>
      </c>
      <c r="R12">
        <v>0</v>
      </c>
      <c r="S12">
        <v>2</v>
      </c>
      <c r="T12">
        <f t="shared" si="1"/>
        <v>2</v>
      </c>
      <c r="V12">
        <v>1</v>
      </c>
      <c r="W12">
        <v>3</v>
      </c>
      <c r="X12">
        <v>1</v>
      </c>
      <c r="Y12">
        <v>1</v>
      </c>
      <c r="Z12">
        <v>3</v>
      </c>
      <c r="AA12">
        <v>3</v>
      </c>
      <c r="AB12">
        <v>3</v>
      </c>
      <c r="AC12">
        <v>1</v>
      </c>
      <c r="AD12">
        <v>3</v>
      </c>
      <c r="AE12">
        <v>3</v>
      </c>
      <c r="AF12">
        <v>1</v>
      </c>
      <c r="AG12">
        <v>3</v>
      </c>
      <c r="AH12">
        <v>1</v>
      </c>
      <c r="AI12">
        <v>1</v>
      </c>
      <c r="AJ12">
        <v>3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3</v>
      </c>
      <c r="AQ12">
        <v>1</v>
      </c>
      <c r="AR12">
        <v>1</v>
      </c>
      <c r="AS12">
        <v>1</v>
      </c>
      <c r="AT12">
        <v>1</v>
      </c>
      <c r="AU12">
        <f t="shared" si="2"/>
        <v>43</v>
      </c>
      <c r="AV12">
        <v>10</v>
      </c>
      <c r="AW12">
        <v>2</v>
      </c>
      <c r="AX12">
        <f t="shared" si="3"/>
        <v>55</v>
      </c>
    </row>
    <row r="13" spans="1:50">
      <c r="A13" t="s">
        <v>210</v>
      </c>
      <c r="B13">
        <v>5.8330000000000002</v>
      </c>
      <c r="C13" t="s">
        <v>199</v>
      </c>
      <c r="E13">
        <v>2030</v>
      </c>
      <c r="F13">
        <v>600</v>
      </c>
      <c r="G13">
        <v>9.5</v>
      </c>
      <c r="H13">
        <v>9.5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f t="shared" si="0"/>
        <v>6</v>
      </c>
      <c r="R13">
        <v>0</v>
      </c>
      <c r="S13">
        <v>0</v>
      </c>
      <c r="T13">
        <f t="shared" si="1"/>
        <v>0</v>
      </c>
      <c r="V13">
        <v>2</v>
      </c>
      <c r="W13">
        <v>2</v>
      </c>
      <c r="X13">
        <v>3</v>
      </c>
      <c r="Y13">
        <v>1</v>
      </c>
      <c r="Z13">
        <v>1</v>
      </c>
      <c r="AA13">
        <v>3</v>
      </c>
      <c r="AB13">
        <v>3</v>
      </c>
      <c r="AC13">
        <v>1</v>
      </c>
      <c r="AD13">
        <v>1</v>
      </c>
      <c r="AE13">
        <v>1</v>
      </c>
      <c r="AF13">
        <v>2</v>
      </c>
      <c r="AG13">
        <v>2</v>
      </c>
      <c r="AH13">
        <v>1</v>
      </c>
      <c r="AI13">
        <v>2</v>
      </c>
      <c r="AJ13">
        <v>2</v>
      </c>
      <c r="AK13">
        <v>1</v>
      </c>
      <c r="AL13">
        <v>1</v>
      </c>
      <c r="AM13">
        <v>2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f t="shared" si="2"/>
        <v>38</v>
      </c>
      <c r="AV13">
        <v>6</v>
      </c>
      <c r="AW13">
        <v>0</v>
      </c>
      <c r="AX13">
        <f t="shared" si="3"/>
        <v>44</v>
      </c>
    </row>
    <row r="14" spans="1:50">
      <c r="A14" t="s">
        <v>211</v>
      </c>
      <c r="B14">
        <v>5.5</v>
      </c>
      <c r="C14" t="s">
        <v>199</v>
      </c>
      <c r="E14">
        <v>2000</v>
      </c>
      <c r="F14">
        <v>700</v>
      </c>
      <c r="G14">
        <v>11</v>
      </c>
      <c r="H14">
        <v>11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f t="shared" si="0"/>
        <v>6</v>
      </c>
      <c r="R14">
        <v>0</v>
      </c>
      <c r="S14">
        <v>2</v>
      </c>
      <c r="T14">
        <f t="shared" si="1"/>
        <v>2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2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2</v>
      </c>
      <c r="AS14">
        <v>2</v>
      </c>
      <c r="AT14">
        <v>2</v>
      </c>
      <c r="AU14">
        <f t="shared" si="2"/>
        <v>29</v>
      </c>
      <c r="AV14">
        <v>6</v>
      </c>
      <c r="AW14">
        <v>2</v>
      </c>
      <c r="AX14">
        <f t="shared" si="3"/>
        <v>37</v>
      </c>
    </row>
    <row r="15" spans="1:50">
      <c r="A15" t="s">
        <v>212</v>
      </c>
      <c r="B15">
        <v>5.5</v>
      </c>
      <c r="C15" t="s">
        <v>199</v>
      </c>
      <c r="E15">
        <v>2000</v>
      </c>
      <c r="F15">
        <v>700</v>
      </c>
      <c r="G15">
        <v>11</v>
      </c>
      <c r="H15">
        <v>11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f t="shared" si="0"/>
        <v>6</v>
      </c>
      <c r="R15">
        <v>0</v>
      </c>
      <c r="S15">
        <v>0</v>
      </c>
      <c r="T15">
        <f t="shared" si="1"/>
        <v>0</v>
      </c>
      <c r="V15">
        <v>2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2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f t="shared" si="2"/>
        <v>27</v>
      </c>
      <c r="AV15">
        <v>6</v>
      </c>
      <c r="AW15">
        <v>0</v>
      </c>
      <c r="AX15">
        <f t="shared" si="3"/>
        <v>33</v>
      </c>
    </row>
    <row r="16" spans="1:50">
      <c r="A16" t="s">
        <v>213</v>
      </c>
      <c r="B16">
        <v>5.5</v>
      </c>
      <c r="C16" t="s">
        <v>199</v>
      </c>
      <c r="E16">
        <v>2000</v>
      </c>
      <c r="F16">
        <v>700</v>
      </c>
      <c r="G16">
        <v>11</v>
      </c>
      <c r="H16">
        <v>11</v>
      </c>
      <c r="J16">
        <v>1</v>
      </c>
      <c r="K16">
        <v>1</v>
      </c>
      <c r="L16">
        <v>1</v>
      </c>
      <c r="M16">
        <v>1</v>
      </c>
      <c r="N16">
        <v>1</v>
      </c>
      <c r="O16">
        <v>2</v>
      </c>
      <c r="P16">
        <f t="shared" si="0"/>
        <v>7</v>
      </c>
      <c r="R16">
        <v>0</v>
      </c>
      <c r="S16">
        <v>2</v>
      </c>
      <c r="T16">
        <f t="shared" si="1"/>
        <v>2</v>
      </c>
      <c r="V16">
        <v>2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2</v>
      </c>
      <c r="AD16">
        <v>2</v>
      </c>
      <c r="AE16">
        <v>1</v>
      </c>
      <c r="AF16">
        <v>2</v>
      </c>
      <c r="AG16">
        <v>2</v>
      </c>
      <c r="AH16">
        <v>1</v>
      </c>
      <c r="AI16">
        <v>2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2</v>
      </c>
      <c r="AQ16">
        <v>1</v>
      </c>
      <c r="AR16">
        <v>3</v>
      </c>
      <c r="AS16">
        <v>3</v>
      </c>
      <c r="AT16">
        <v>3</v>
      </c>
      <c r="AU16">
        <f t="shared" si="2"/>
        <v>38</v>
      </c>
      <c r="AV16">
        <v>7</v>
      </c>
      <c r="AW16">
        <v>2</v>
      </c>
      <c r="AX16">
        <f t="shared" si="3"/>
        <v>47</v>
      </c>
    </row>
    <row r="17" spans="1:50">
      <c r="A17" t="s">
        <v>214</v>
      </c>
      <c r="B17">
        <v>5.6669999999999998</v>
      </c>
      <c r="C17" t="s">
        <v>199</v>
      </c>
      <c r="E17">
        <v>2000</v>
      </c>
      <c r="F17">
        <v>600</v>
      </c>
      <c r="G17">
        <v>10</v>
      </c>
      <c r="H17">
        <v>10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f t="shared" si="0"/>
        <v>6</v>
      </c>
      <c r="R17">
        <v>0</v>
      </c>
      <c r="S17">
        <v>0</v>
      </c>
      <c r="T17">
        <f t="shared" si="1"/>
        <v>0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3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f t="shared" si="2"/>
        <v>27</v>
      </c>
      <c r="AV17">
        <v>6</v>
      </c>
      <c r="AW17">
        <v>0</v>
      </c>
      <c r="AX17">
        <f t="shared" si="3"/>
        <v>33</v>
      </c>
    </row>
    <row r="18" spans="1:50">
      <c r="A18" t="s">
        <v>215</v>
      </c>
      <c r="B18">
        <v>5.5</v>
      </c>
      <c r="C18" t="s">
        <v>199</v>
      </c>
      <c r="E18">
        <v>2030</v>
      </c>
      <c r="F18">
        <v>630</v>
      </c>
      <c r="G18">
        <v>10</v>
      </c>
      <c r="H18">
        <v>10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f t="shared" si="0"/>
        <v>6</v>
      </c>
      <c r="R18">
        <v>0</v>
      </c>
      <c r="S18">
        <v>0</v>
      </c>
      <c r="T18">
        <f t="shared" si="1"/>
        <v>0</v>
      </c>
      <c r="V18">
        <v>2</v>
      </c>
      <c r="W18">
        <v>3</v>
      </c>
      <c r="X18">
        <v>4</v>
      </c>
      <c r="Y18">
        <v>4</v>
      </c>
      <c r="Z18">
        <v>4</v>
      </c>
      <c r="AA18">
        <v>3</v>
      </c>
      <c r="AB18">
        <v>4</v>
      </c>
      <c r="AC18">
        <v>2</v>
      </c>
      <c r="AD18">
        <v>4</v>
      </c>
      <c r="AE18">
        <v>4</v>
      </c>
      <c r="AF18">
        <v>1</v>
      </c>
      <c r="AG18">
        <v>3</v>
      </c>
      <c r="AH18">
        <v>1</v>
      </c>
      <c r="AI18">
        <v>3</v>
      </c>
      <c r="AJ18">
        <v>2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2</v>
      </c>
      <c r="AQ18">
        <v>1</v>
      </c>
      <c r="AR18">
        <v>1</v>
      </c>
      <c r="AS18">
        <v>1</v>
      </c>
      <c r="AT18">
        <v>1</v>
      </c>
      <c r="AU18">
        <f t="shared" si="2"/>
        <v>55</v>
      </c>
      <c r="AV18">
        <v>6</v>
      </c>
      <c r="AW18">
        <v>0</v>
      </c>
      <c r="AX18">
        <f t="shared" si="3"/>
        <v>61</v>
      </c>
    </row>
    <row r="19" spans="1:50">
      <c r="A19" t="s">
        <v>216</v>
      </c>
      <c r="B19">
        <v>5.5</v>
      </c>
      <c r="C19" t="s">
        <v>199</v>
      </c>
      <c r="E19">
        <v>1900</v>
      </c>
      <c r="F19">
        <v>630</v>
      </c>
      <c r="G19">
        <v>11.5</v>
      </c>
      <c r="H19">
        <v>11.5</v>
      </c>
      <c r="J19">
        <v>1</v>
      </c>
      <c r="K19">
        <v>1</v>
      </c>
      <c r="L19">
        <v>1</v>
      </c>
      <c r="M19">
        <v>1</v>
      </c>
      <c r="N19">
        <v>1</v>
      </c>
      <c r="O19">
        <v>2</v>
      </c>
      <c r="P19">
        <f t="shared" si="0"/>
        <v>7</v>
      </c>
      <c r="R19">
        <v>0</v>
      </c>
      <c r="S19">
        <v>0</v>
      </c>
      <c r="T19">
        <f t="shared" si="1"/>
        <v>0</v>
      </c>
      <c r="V19">
        <v>1</v>
      </c>
      <c r="W19">
        <v>1</v>
      </c>
      <c r="X19">
        <v>3</v>
      </c>
      <c r="Y19">
        <v>1</v>
      </c>
      <c r="Z19">
        <v>1</v>
      </c>
      <c r="AA19">
        <v>1</v>
      </c>
      <c r="AB19">
        <v>1</v>
      </c>
      <c r="AC19">
        <v>3</v>
      </c>
      <c r="AD19">
        <v>3</v>
      </c>
      <c r="AE19">
        <v>1</v>
      </c>
      <c r="AF19">
        <v>1</v>
      </c>
      <c r="AG19">
        <v>2</v>
      </c>
      <c r="AH19">
        <v>1</v>
      </c>
      <c r="AI19">
        <v>1</v>
      </c>
      <c r="AJ19">
        <v>2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2</v>
      </c>
      <c r="AR19">
        <v>1</v>
      </c>
      <c r="AS19">
        <v>1</v>
      </c>
      <c r="AT19">
        <v>1</v>
      </c>
      <c r="AU19">
        <f t="shared" si="2"/>
        <v>34</v>
      </c>
      <c r="AV19">
        <v>7</v>
      </c>
      <c r="AW19">
        <v>0</v>
      </c>
      <c r="AX19">
        <f t="shared" si="3"/>
        <v>41</v>
      </c>
    </row>
    <row r="20" spans="1:50">
      <c r="A20" t="s">
        <v>217</v>
      </c>
      <c r="B20">
        <v>5.5</v>
      </c>
    </row>
    <row r="21" spans="1:50">
      <c r="A21" t="s">
        <v>218</v>
      </c>
      <c r="B21">
        <v>5.5</v>
      </c>
    </row>
    <row r="22" spans="1:50">
      <c r="A22" t="s">
        <v>219</v>
      </c>
      <c r="B22">
        <v>5.75</v>
      </c>
      <c r="C22" t="s">
        <v>199</v>
      </c>
      <c r="E22">
        <v>2000</v>
      </c>
      <c r="F22">
        <v>700</v>
      </c>
      <c r="G22">
        <v>10</v>
      </c>
      <c r="H22">
        <v>10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f>SUM(J22:O22)</f>
        <v>6</v>
      </c>
      <c r="R22">
        <v>0</v>
      </c>
      <c r="S22">
        <v>2</v>
      </c>
      <c r="T22">
        <f>SUM(R22:S22)</f>
        <v>2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3</v>
      </c>
      <c r="AJ22">
        <v>2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f>SUM(V22:AT22)</f>
        <v>28</v>
      </c>
      <c r="AV22">
        <v>6</v>
      </c>
      <c r="AW22">
        <v>2</v>
      </c>
      <c r="AX22">
        <f>SUM(AU22:AW22)</f>
        <v>36</v>
      </c>
    </row>
    <row r="23" spans="1:50">
      <c r="A23" t="s">
        <v>220</v>
      </c>
      <c r="B23">
        <v>5.66</v>
      </c>
      <c r="C23" t="s">
        <v>199</v>
      </c>
      <c r="E23">
        <v>1930</v>
      </c>
      <c r="F23">
        <v>730</v>
      </c>
      <c r="G23">
        <v>12</v>
      </c>
      <c r="H23">
        <v>12</v>
      </c>
      <c r="J23">
        <v>1</v>
      </c>
      <c r="K23">
        <v>1</v>
      </c>
      <c r="L23">
        <v>3</v>
      </c>
      <c r="M23">
        <v>1</v>
      </c>
      <c r="N23">
        <v>1</v>
      </c>
      <c r="O23">
        <v>1</v>
      </c>
      <c r="P23">
        <f>SUM(J23:O23)</f>
        <v>8</v>
      </c>
      <c r="R23">
        <v>0</v>
      </c>
      <c r="S23">
        <v>0</v>
      </c>
      <c r="T23">
        <f>SUM(R23:S23)</f>
        <v>0</v>
      </c>
      <c r="V23">
        <v>3</v>
      </c>
      <c r="W23">
        <v>3</v>
      </c>
      <c r="X23">
        <v>3</v>
      </c>
      <c r="Y23">
        <v>3</v>
      </c>
      <c r="Z23">
        <v>1</v>
      </c>
      <c r="AA23">
        <v>2</v>
      </c>
      <c r="AB23">
        <v>1</v>
      </c>
      <c r="AC23">
        <v>2</v>
      </c>
      <c r="AD23">
        <v>1</v>
      </c>
      <c r="AE23">
        <v>1</v>
      </c>
      <c r="AF23">
        <v>2</v>
      </c>
      <c r="AG23">
        <v>3</v>
      </c>
      <c r="AH23">
        <v>1</v>
      </c>
      <c r="AI23">
        <v>1</v>
      </c>
      <c r="AJ23">
        <v>1</v>
      </c>
      <c r="AK23">
        <v>2</v>
      </c>
      <c r="AL23">
        <v>1</v>
      </c>
      <c r="AM23">
        <v>2</v>
      </c>
      <c r="AN23">
        <v>1</v>
      </c>
      <c r="AO23">
        <v>1</v>
      </c>
      <c r="AP23">
        <v>2</v>
      </c>
      <c r="AQ23">
        <v>2</v>
      </c>
      <c r="AR23">
        <v>1</v>
      </c>
      <c r="AS23">
        <v>1</v>
      </c>
      <c r="AT23">
        <v>1</v>
      </c>
      <c r="AU23">
        <f>SUM(V23:AT23)</f>
        <v>42</v>
      </c>
      <c r="AV23">
        <v>8</v>
      </c>
      <c r="AW23">
        <v>0</v>
      </c>
      <c r="AX23">
        <f>SUM(AU23:AW23)</f>
        <v>50</v>
      </c>
    </row>
    <row r="24" spans="1:50">
      <c r="A24" t="s">
        <v>221</v>
      </c>
      <c r="B24">
        <v>5.75</v>
      </c>
      <c r="C24" t="s">
        <v>199</v>
      </c>
      <c r="E24">
        <v>2200</v>
      </c>
      <c r="F24">
        <v>800</v>
      </c>
      <c r="G24">
        <v>10</v>
      </c>
      <c r="H24">
        <v>10</v>
      </c>
      <c r="J24">
        <v>1</v>
      </c>
      <c r="K24">
        <v>1</v>
      </c>
      <c r="L24">
        <v>1</v>
      </c>
      <c r="M24">
        <v>2</v>
      </c>
      <c r="N24">
        <v>1</v>
      </c>
      <c r="O24">
        <v>2</v>
      </c>
      <c r="P24">
        <f>SUM(J24:O24)</f>
        <v>8</v>
      </c>
      <c r="R24">
        <v>0</v>
      </c>
      <c r="S24">
        <v>0</v>
      </c>
      <c r="T24">
        <f>SUM(R24:S24)</f>
        <v>0</v>
      </c>
      <c r="V24">
        <v>1</v>
      </c>
      <c r="W24">
        <v>2</v>
      </c>
      <c r="X24">
        <v>1</v>
      </c>
      <c r="Y24">
        <v>1</v>
      </c>
      <c r="Z24">
        <v>2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3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2</v>
      </c>
      <c r="AN24">
        <v>1</v>
      </c>
      <c r="AO24">
        <v>1</v>
      </c>
      <c r="AP24">
        <v>1</v>
      </c>
      <c r="AQ24">
        <v>2</v>
      </c>
      <c r="AR24">
        <v>2</v>
      </c>
      <c r="AS24">
        <v>1</v>
      </c>
      <c r="AT24">
        <v>1</v>
      </c>
      <c r="AU24">
        <f>SUM(V24:AT24)</f>
        <v>32</v>
      </c>
      <c r="AV24">
        <v>8</v>
      </c>
      <c r="AW24">
        <v>0</v>
      </c>
      <c r="AX24">
        <f>SUM(AU24:AW24)</f>
        <v>40</v>
      </c>
    </row>
    <row r="25" spans="1:50">
      <c r="A25" t="s">
        <v>222</v>
      </c>
    </row>
    <row r="26" spans="1:50">
      <c r="A26" t="s">
        <v>223</v>
      </c>
      <c r="B26">
        <v>6.17</v>
      </c>
      <c r="C26" t="s">
        <v>199</v>
      </c>
      <c r="E26">
        <v>2030</v>
      </c>
      <c r="F26">
        <v>700</v>
      </c>
      <c r="G26">
        <v>10.5</v>
      </c>
      <c r="H26">
        <v>7.5</v>
      </c>
      <c r="J26">
        <v>1</v>
      </c>
      <c r="K26">
        <v>1</v>
      </c>
      <c r="L26">
        <v>1</v>
      </c>
      <c r="M26">
        <v>1</v>
      </c>
      <c r="N26">
        <v>1</v>
      </c>
      <c r="O26">
        <v>3</v>
      </c>
      <c r="R26">
        <v>0</v>
      </c>
      <c r="S26">
        <v>1</v>
      </c>
      <c r="V26">
        <v>3</v>
      </c>
      <c r="W26">
        <v>3</v>
      </c>
      <c r="X26">
        <v>3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3</v>
      </c>
      <c r="AH26">
        <v>1</v>
      </c>
      <c r="AI26">
        <v>3</v>
      </c>
      <c r="AJ26">
        <v>3</v>
      </c>
      <c r="AK26">
        <v>1</v>
      </c>
      <c r="AL26">
        <v>1</v>
      </c>
      <c r="AM26">
        <v>3</v>
      </c>
      <c r="AN26">
        <v>3</v>
      </c>
      <c r="AO26">
        <v>3</v>
      </c>
      <c r="AP26">
        <v>3</v>
      </c>
      <c r="AQ26">
        <v>3</v>
      </c>
      <c r="AR26">
        <v>3</v>
      </c>
      <c r="AS26">
        <v>3</v>
      </c>
      <c r="AT26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AE09-730B-49C7-AF8E-356F5EE8D516}">
  <dimension ref="A1:M42"/>
  <sheetViews>
    <sheetView workbookViewId="0">
      <selection activeCell="G11" sqref="G11"/>
    </sheetView>
  </sheetViews>
  <sheetFormatPr defaultRowHeight="15"/>
  <sheetData>
    <row r="1" spans="1:13" ht="15.75">
      <c r="A1" s="45"/>
      <c r="B1" s="57" t="s">
        <v>224</v>
      </c>
      <c r="C1" s="57"/>
      <c r="D1" s="57"/>
      <c r="E1" s="59" t="s">
        <v>225</v>
      </c>
      <c r="F1" s="59"/>
      <c r="G1" s="59"/>
      <c r="H1" s="59"/>
      <c r="I1" s="59"/>
      <c r="J1" s="59"/>
      <c r="K1" s="59"/>
      <c r="L1" s="59"/>
      <c r="M1" s="59"/>
    </row>
    <row r="2" spans="1:13" ht="15.75">
      <c r="A2" s="45"/>
      <c r="B2" s="58" t="s">
        <v>226</v>
      </c>
      <c r="C2" s="58"/>
      <c r="D2" s="58"/>
      <c r="E2" s="42"/>
      <c r="F2" s="42"/>
      <c r="G2" s="42"/>
      <c r="H2" s="42"/>
      <c r="I2" s="42"/>
      <c r="J2" s="42"/>
      <c r="K2" s="42"/>
      <c r="L2" s="42"/>
      <c r="M2" s="42"/>
    </row>
    <row r="3" spans="1:13" ht="15.75">
      <c r="A3" s="45" t="s">
        <v>227</v>
      </c>
      <c r="B3" s="45" t="s">
        <v>104</v>
      </c>
      <c r="C3" s="45" t="s">
        <v>228</v>
      </c>
      <c r="E3" s="44" t="s">
        <v>19</v>
      </c>
      <c r="F3" s="45" t="s">
        <v>229</v>
      </c>
      <c r="G3" s="45" t="s">
        <v>21</v>
      </c>
      <c r="H3" s="45" t="s">
        <v>22</v>
      </c>
      <c r="I3" s="45" t="s">
        <v>23</v>
      </c>
      <c r="J3" s="45" t="s">
        <v>25</v>
      </c>
      <c r="K3" s="45" t="s">
        <v>26</v>
      </c>
      <c r="L3" s="45" t="s">
        <v>27</v>
      </c>
      <c r="M3" s="45" t="s">
        <v>230</v>
      </c>
    </row>
    <row r="4" spans="1:13" ht="15.75">
      <c r="A4" s="45" t="s">
        <v>231</v>
      </c>
      <c r="B4" s="45">
        <v>1</v>
      </c>
      <c r="C4" s="45">
        <v>85</v>
      </c>
      <c r="E4" s="44"/>
      <c r="F4" s="45"/>
      <c r="G4" s="45"/>
      <c r="H4" s="45"/>
      <c r="I4" s="45"/>
      <c r="J4" s="45"/>
      <c r="K4" s="45"/>
      <c r="L4" s="45"/>
      <c r="M4" s="45"/>
    </row>
    <row r="5" spans="1:13" ht="15.75">
      <c r="A5" s="45" t="s">
        <v>232</v>
      </c>
      <c r="B5" s="45">
        <v>1</v>
      </c>
      <c r="C5" s="45">
        <v>152</v>
      </c>
      <c r="E5" s="44"/>
      <c r="F5" s="45"/>
      <c r="G5" s="45"/>
      <c r="H5" s="45"/>
      <c r="I5" s="45"/>
      <c r="J5" s="45"/>
      <c r="K5" s="45"/>
      <c r="L5" s="45"/>
      <c r="M5" s="45"/>
    </row>
    <row r="6" spans="1:13" ht="15.75">
      <c r="A6" s="45" t="s">
        <v>233</v>
      </c>
      <c r="B6" s="45">
        <v>2</v>
      </c>
      <c r="C6" s="45">
        <v>194</v>
      </c>
      <c r="E6" s="44"/>
      <c r="F6" s="45"/>
      <c r="G6" s="45"/>
      <c r="H6" s="45"/>
      <c r="I6" s="45"/>
      <c r="J6" s="45"/>
      <c r="K6" s="45"/>
      <c r="L6" s="45"/>
      <c r="M6" s="45"/>
    </row>
    <row r="7" spans="1:13" ht="15.75">
      <c r="A7" s="45" t="s">
        <v>234</v>
      </c>
      <c r="B7" s="45">
        <v>2</v>
      </c>
      <c r="C7" s="45">
        <v>116</v>
      </c>
      <c r="E7" s="44"/>
      <c r="F7" s="45"/>
      <c r="G7" s="45"/>
      <c r="H7" s="45"/>
      <c r="I7" s="45"/>
      <c r="J7" s="45"/>
      <c r="K7" s="45"/>
      <c r="L7" s="45"/>
      <c r="M7" s="45"/>
    </row>
    <row r="8" spans="1:13" ht="15.75">
      <c r="A8" s="45" t="s">
        <v>235</v>
      </c>
      <c r="B8" s="45">
        <v>2</v>
      </c>
      <c r="C8" s="45">
        <v>160</v>
      </c>
      <c r="E8" s="44"/>
      <c r="F8" s="45"/>
      <c r="G8" s="45"/>
      <c r="H8" s="45"/>
      <c r="I8" s="45"/>
      <c r="J8" s="45"/>
      <c r="K8" s="45"/>
      <c r="L8" s="45"/>
      <c r="M8" s="45"/>
    </row>
    <row r="9" spans="1:13" ht="15.75">
      <c r="A9" s="45" t="s">
        <v>236</v>
      </c>
      <c r="B9" s="45">
        <v>1</v>
      </c>
      <c r="C9" s="45">
        <v>165</v>
      </c>
      <c r="E9" s="44">
        <v>6</v>
      </c>
      <c r="F9" s="45">
        <v>2</v>
      </c>
      <c r="G9" s="45">
        <v>3</v>
      </c>
      <c r="H9" s="45">
        <v>4</v>
      </c>
      <c r="I9" s="43">
        <v>4</v>
      </c>
      <c r="J9" s="45">
        <v>8</v>
      </c>
      <c r="K9" s="45">
        <v>8</v>
      </c>
      <c r="L9" s="45">
        <v>8</v>
      </c>
      <c r="M9" s="45">
        <v>41</v>
      </c>
    </row>
    <row r="10" spans="1:13" ht="15.75">
      <c r="A10" s="45" t="s">
        <v>237</v>
      </c>
      <c r="B10" s="45">
        <v>1</v>
      </c>
      <c r="C10" s="45">
        <v>168</v>
      </c>
      <c r="E10" s="44"/>
      <c r="F10" s="45"/>
      <c r="G10" s="45"/>
      <c r="H10" s="45"/>
      <c r="I10" s="45"/>
      <c r="J10" s="45"/>
      <c r="K10" s="45"/>
      <c r="L10" s="45"/>
      <c r="M10" s="45"/>
    </row>
    <row r="11" spans="1:13" ht="15.75">
      <c r="A11" s="45" t="s">
        <v>238</v>
      </c>
      <c r="B11" s="45">
        <v>1</v>
      </c>
      <c r="C11" s="45">
        <v>21</v>
      </c>
      <c r="E11" s="44"/>
      <c r="F11" s="45"/>
      <c r="G11" s="45"/>
      <c r="H11" s="45"/>
      <c r="I11" s="45"/>
      <c r="J11" s="45"/>
      <c r="K11" s="45"/>
      <c r="L11" s="45"/>
      <c r="M11" s="45"/>
    </row>
    <row r="12" spans="1:13" ht="15.75">
      <c r="A12" s="45" t="s">
        <v>239</v>
      </c>
      <c r="B12" s="45">
        <v>2</v>
      </c>
      <c r="C12" s="45">
        <v>97</v>
      </c>
      <c r="E12" s="44">
        <v>6</v>
      </c>
      <c r="F12" s="45">
        <v>2</v>
      </c>
      <c r="G12" s="45">
        <v>3</v>
      </c>
      <c r="H12" s="45">
        <v>4</v>
      </c>
      <c r="I12" s="45">
        <v>5</v>
      </c>
      <c r="J12" s="45">
        <v>7</v>
      </c>
      <c r="K12" s="45">
        <v>6</v>
      </c>
      <c r="L12" s="43">
        <v>7</v>
      </c>
      <c r="M12" s="43">
        <v>40</v>
      </c>
    </row>
    <row r="13" spans="1:13" ht="15.75">
      <c r="A13" s="45" t="s">
        <v>240</v>
      </c>
      <c r="B13" s="45">
        <v>1</v>
      </c>
      <c r="C13" s="45">
        <v>49</v>
      </c>
      <c r="E13" s="44">
        <v>14</v>
      </c>
      <c r="F13" s="45">
        <v>3</v>
      </c>
      <c r="G13" s="45">
        <v>8</v>
      </c>
      <c r="H13" s="45">
        <v>8</v>
      </c>
      <c r="I13" s="45">
        <v>9</v>
      </c>
      <c r="J13" s="45">
        <v>12</v>
      </c>
      <c r="K13" s="45">
        <v>5</v>
      </c>
      <c r="L13" s="45">
        <v>13</v>
      </c>
      <c r="M13" s="45">
        <v>66</v>
      </c>
    </row>
    <row r="14" spans="1:13" ht="15.75">
      <c r="A14" s="45" t="s">
        <v>241</v>
      </c>
      <c r="B14" s="45">
        <v>1</v>
      </c>
      <c r="C14" s="45">
        <v>99</v>
      </c>
      <c r="E14" s="44">
        <v>17</v>
      </c>
      <c r="F14" s="45">
        <v>3</v>
      </c>
      <c r="G14" s="45">
        <v>9</v>
      </c>
      <c r="H14" s="45">
        <v>12</v>
      </c>
      <c r="I14" s="45">
        <v>7</v>
      </c>
      <c r="J14" s="45">
        <v>17</v>
      </c>
      <c r="K14" s="45">
        <v>9</v>
      </c>
      <c r="L14" s="45">
        <v>11</v>
      </c>
      <c r="M14" s="45">
        <v>79</v>
      </c>
    </row>
    <row r="15" spans="1:13" ht="15.75">
      <c r="A15" s="45" t="s">
        <v>242</v>
      </c>
      <c r="B15" s="45">
        <v>1</v>
      </c>
      <c r="C15" s="45">
        <v>99</v>
      </c>
      <c r="E15" s="44">
        <v>8</v>
      </c>
      <c r="F15" s="45">
        <v>3</v>
      </c>
      <c r="G15" s="45">
        <v>5</v>
      </c>
      <c r="H15" s="45">
        <v>6</v>
      </c>
      <c r="I15" s="45">
        <v>6</v>
      </c>
      <c r="J15" s="45">
        <v>14</v>
      </c>
      <c r="K15" s="45">
        <v>7</v>
      </c>
      <c r="L15" s="45">
        <v>16</v>
      </c>
      <c r="M15" s="45">
        <v>63</v>
      </c>
    </row>
    <row r="16" spans="1:13" ht="15.75">
      <c r="A16" s="45" t="s">
        <v>243</v>
      </c>
      <c r="B16" s="45">
        <v>1</v>
      </c>
      <c r="C16" s="45">
        <v>138</v>
      </c>
      <c r="E16" s="44">
        <v>12</v>
      </c>
      <c r="F16" s="45">
        <v>1</v>
      </c>
      <c r="G16" s="45">
        <v>5</v>
      </c>
      <c r="H16" s="45">
        <v>6</v>
      </c>
      <c r="I16" s="45">
        <v>8</v>
      </c>
      <c r="J16" s="45">
        <v>10</v>
      </c>
      <c r="K16" s="45">
        <v>7</v>
      </c>
      <c r="L16" s="45">
        <v>11</v>
      </c>
      <c r="M16" s="45">
        <v>56</v>
      </c>
    </row>
    <row r="17" spans="1:13" ht="15.75">
      <c r="A17" s="45" t="s">
        <v>244</v>
      </c>
      <c r="B17" s="45">
        <v>2</v>
      </c>
      <c r="C17" s="45">
        <v>182</v>
      </c>
      <c r="E17" s="44"/>
      <c r="F17" s="45"/>
      <c r="G17" s="45"/>
      <c r="H17" s="45"/>
      <c r="I17" s="45"/>
      <c r="J17" s="45"/>
      <c r="K17" s="45"/>
      <c r="L17" s="45"/>
      <c r="M17" s="45"/>
    </row>
    <row r="18" spans="1:13" ht="15.75">
      <c r="A18" s="45" t="s">
        <v>245</v>
      </c>
      <c r="B18" s="45">
        <v>1</v>
      </c>
      <c r="C18" s="45">
        <v>161</v>
      </c>
      <c r="E18" s="44">
        <v>12</v>
      </c>
      <c r="F18" s="45">
        <v>1</v>
      </c>
      <c r="G18" s="45">
        <v>5</v>
      </c>
      <c r="H18" s="45">
        <v>8</v>
      </c>
      <c r="I18" s="45">
        <v>7</v>
      </c>
      <c r="J18" s="45">
        <v>12</v>
      </c>
      <c r="K18" s="45">
        <v>7</v>
      </c>
      <c r="L18" s="45">
        <v>7</v>
      </c>
      <c r="M18" s="45">
        <v>54</v>
      </c>
    </row>
    <row r="19" spans="1:13" ht="15.75">
      <c r="A19" s="45" t="s">
        <v>246</v>
      </c>
      <c r="B19" s="45">
        <v>1</v>
      </c>
      <c r="C19" s="45">
        <v>198</v>
      </c>
      <c r="E19" s="44">
        <v>7</v>
      </c>
      <c r="F19" s="45">
        <v>1</v>
      </c>
      <c r="G19" s="45">
        <v>4</v>
      </c>
      <c r="H19" s="45">
        <v>6</v>
      </c>
      <c r="I19" s="45">
        <v>5</v>
      </c>
      <c r="J19" s="45">
        <v>9</v>
      </c>
      <c r="K19" s="45">
        <v>3</v>
      </c>
      <c r="L19" s="43">
        <v>5</v>
      </c>
      <c r="M19" s="43">
        <v>40</v>
      </c>
    </row>
    <row r="20" spans="1:13" ht="15.75">
      <c r="A20" s="45" t="s">
        <v>247</v>
      </c>
      <c r="B20" s="45">
        <v>2</v>
      </c>
      <c r="C20" s="45">
        <v>24</v>
      </c>
      <c r="E20" s="44">
        <v>13</v>
      </c>
      <c r="F20" s="45">
        <v>3</v>
      </c>
      <c r="G20" s="45">
        <v>5</v>
      </c>
      <c r="H20" s="45">
        <v>6</v>
      </c>
      <c r="I20" s="45">
        <v>3</v>
      </c>
      <c r="J20" s="45">
        <v>9</v>
      </c>
      <c r="K20" s="45">
        <v>9</v>
      </c>
      <c r="L20" s="45">
        <v>6</v>
      </c>
      <c r="M20" s="45">
        <v>51</v>
      </c>
    </row>
    <row r="21" spans="1:13" ht="15.75">
      <c r="A21" s="45" t="s">
        <v>248</v>
      </c>
      <c r="B21" s="45">
        <v>1</v>
      </c>
      <c r="C21" s="45">
        <v>90</v>
      </c>
      <c r="E21" s="44">
        <v>10</v>
      </c>
      <c r="F21" s="45">
        <v>3</v>
      </c>
      <c r="G21" s="45">
        <v>3</v>
      </c>
      <c r="H21" s="45">
        <v>6</v>
      </c>
      <c r="I21" s="45">
        <v>7</v>
      </c>
      <c r="J21" s="45">
        <v>11</v>
      </c>
      <c r="K21" s="45">
        <v>9</v>
      </c>
      <c r="L21" s="45">
        <v>16</v>
      </c>
      <c r="M21" s="45">
        <v>61</v>
      </c>
    </row>
    <row r="22" spans="1:13" ht="15.75">
      <c r="A22" s="45" t="s">
        <v>249</v>
      </c>
      <c r="B22" s="45">
        <v>1</v>
      </c>
      <c r="C22" s="45">
        <v>85</v>
      </c>
      <c r="E22" s="44">
        <v>9</v>
      </c>
      <c r="F22" s="45">
        <v>2</v>
      </c>
      <c r="G22" s="45">
        <v>3</v>
      </c>
      <c r="H22" s="45">
        <v>4</v>
      </c>
      <c r="I22" s="45">
        <v>7</v>
      </c>
      <c r="J22" s="45">
        <v>8</v>
      </c>
      <c r="K22" s="45">
        <v>5</v>
      </c>
      <c r="L22" s="45">
        <v>9</v>
      </c>
      <c r="M22" s="45">
        <v>45</v>
      </c>
    </row>
    <row r="23" spans="1:13" ht="15.75">
      <c r="A23" s="45" t="s">
        <v>250</v>
      </c>
      <c r="B23" s="45">
        <v>2</v>
      </c>
      <c r="C23" s="45">
        <v>184</v>
      </c>
      <c r="E23" s="44">
        <v>6</v>
      </c>
      <c r="F23" s="45">
        <v>1</v>
      </c>
      <c r="G23" s="45">
        <v>3</v>
      </c>
      <c r="H23" s="45">
        <v>4</v>
      </c>
      <c r="I23" s="45">
        <v>3</v>
      </c>
      <c r="J23" s="45">
        <v>9</v>
      </c>
      <c r="K23" s="45">
        <v>3</v>
      </c>
      <c r="L23" s="45">
        <v>10</v>
      </c>
      <c r="M23" s="45">
        <v>37</v>
      </c>
    </row>
    <row r="24" spans="1:13" ht="15.75">
      <c r="A24" s="45" t="s">
        <v>251</v>
      </c>
      <c r="B24" s="45">
        <v>2</v>
      </c>
      <c r="C24" s="45">
        <v>64</v>
      </c>
      <c r="E24" s="44"/>
      <c r="F24" s="45"/>
      <c r="G24" s="45"/>
      <c r="H24" s="45"/>
      <c r="I24" s="45"/>
      <c r="J24" s="45"/>
      <c r="K24" s="45"/>
      <c r="L24" s="45"/>
      <c r="M24" s="45"/>
    </row>
    <row r="25" spans="1:13" ht="15.75">
      <c r="A25" s="45" t="s">
        <v>252</v>
      </c>
      <c r="B25" s="45">
        <v>2</v>
      </c>
      <c r="C25" s="45">
        <v>187</v>
      </c>
      <c r="E25" s="44">
        <v>6</v>
      </c>
      <c r="F25" s="45">
        <v>3</v>
      </c>
      <c r="G25" s="45">
        <v>4</v>
      </c>
      <c r="H25" s="45">
        <v>4</v>
      </c>
      <c r="I25" s="45">
        <v>3</v>
      </c>
      <c r="J25" s="45">
        <v>8</v>
      </c>
      <c r="K25" s="45">
        <v>4</v>
      </c>
      <c r="L25" s="45">
        <v>10</v>
      </c>
      <c r="M25" s="45">
        <v>40</v>
      </c>
    </row>
    <row r="26" spans="1:13" ht="15.75">
      <c r="A26" s="45" t="s">
        <v>253</v>
      </c>
      <c r="B26" s="45">
        <v>2</v>
      </c>
      <c r="C26" s="45">
        <v>139</v>
      </c>
      <c r="E26" s="44">
        <v>6</v>
      </c>
      <c r="F26" s="45">
        <v>1</v>
      </c>
      <c r="G26" s="45">
        <v>3</v>
      </c>
      <c r="H26" s="45">
        <v>4</v>
      </c>
      <c r="I26" s="45">
        <v>6</v>
      </c>
      <c r="J26" s="45">
        <v>11</v>
      </c>
      <c r="K26" s="45">
        <v>4</v>
      </c>
      <c r="L26" s="45">
        <v>7</v>
      </c>
      <c r="M26" s="45">
        <v>40</v>
      </c>
    </row>
    <row r="27" spans="1:13" ht="15.75">
      <c r="A27" s="45" t="s">
        <v>254</v>
      </c>
      <c r="B27" s="45">
        <v>1</v>
      </c>
      <c r="C27" s="45">
        <v>88</v>
      </c>
      <c r="E27" s="44">
        <v>8</v>
      </c>
      <c r="F27" s="45">
        <v>3</v>
      </c>
      <c r="G27" s="45">
        <v>6</v>
      </c>
      <c r="H27" s="45">
        <v>4</v>
      </c>
      <c r="I27" s="45">
        <v>8</v>
      </c>
      <c r="J27" s="45">
        <v>11</v>
      </c>
      <c r="K27" s="45">
        <v>3</v>
      </c>
      <c r="L27" s="45">
        <v>11</v>
      </c>
      <c r="M27" s="45">
        <v>52</v>
      </c>
    </row>
    <row r="28" spans="1:13" ht="15.75">
      <c r="A28" s="45" t="s">
        <v>255</v>
      </c>
      <c r="B28" s="45">
        <v>2</v>
      </c>
      <c r="C28" s="45">
        <v>63</v>
      </c>
      <c r="E28" s="44"/>
      <c r="F28" s="45"/>
      <c r="G28" s="45"/>
      <c r="H28" s="45"/>
      <c r="I28" s="45"/>
      <c r="J28" s="45"/>
      <c r="K28" s="45"/>
      <c r="L28" s="45"/>
      <c r="M28" s="45"/>
    </row>
    <row r="29" spans="1:13" ht="15.75">
      <c r="A29" s="45" t="s">
        <v>256</v>
      </c>
      <c r="B29" s="45">
        <v>2</v>
      </c>
      <c r="C29" s="45">
        <v>181</v>
      </c>
      <c r="E29" s="44">
        <v>10</v>
      </c>
      <c r="F29" s="45">
        <v>3</v>
      </c>
      <c r="G29" s="45">
        <v>6</v>
      </c>
      <c r="H29" s="45">
        <v>9</v>
      </c>
      <c r="I29" s="45">
        <v>4</v>
      </c>
      <c r="J29" s="45">
        <v>8</v>
      </c>
      <c r="K29" s="45">
        <v>8</v>
      </c>
      <c r="L29" s="45">
        <v>9</v>
      </c>
      <c r="M29" s="45">
        <v>53</v>
      </c>
    </row>
    <row r="30" spans="1:13" ht="15.75">
      <c r="A30" s="45" t="s">
        <v>257</v>
      </c>
      <c r="B30" s="45">
        <v>1</v>
      </c>
      <c r="C30" s="45">
        <v>154</v>
      </c>
      <c r="E30" s="44">
        <v>6</v>
      </c>
      <c r="F30" s="45">
        <v>1</v>
      </c>
      <c r="G30" s="45">
        <v>3</v>
      </c>
      <c r="H30" s="45">
        <v>5</v>
      </c>
      <c r="I30" s="45">
        <v>3</v>
      </c>
      <c r="J30" s="45">
        <v>7</v>
      </c>
      <c r="K30" s="45">
        <v>3</v>
      </c>
      <c r="L30" s="45">
        <v>7</v>
      </c>
      <c r="M30" s="45">
        <v>33</v>
      </c>
    </row>
    <row r="31" spans="1:13" ht="15.75">
      <c r="A31" s="45" t="s">
        <v>258</v>
      </c>
      <c r="B31" s="45">
        <v>1</v>
      </c>
      <c r="C31" s="45">
        <v>7</v>
      </c>
      <c r="E31" s="46">
        <v>12</v>
      </c>
      <c r="F31" s="43">
        <v>2</v>
      </c>
      <c r="G31" s="43">
        <v>5</v>
      </c>
      <c r="H31" s="43">
        <v>6</v>
      </c>
      <c r="I31" s="43">
        <v>5</v>
      </c>
      <c r="J31" s="43">
        <v>4</v>
      </c>
      <c r="K31" s="43">
        <v>3</v>
      </c>
      <c r="L31" s="43">
        <v>6</v>
      </c>
      <c r="M31" s="43">
        <v>43</v>
      </c>
    </row>
    <row r="32" spans="1:13" ht="15.75">
      <c r="A32" s="45"/>
      <c r="B32" s="45"/>
      <c r="C32" s="45">
        <v>0</v>
      </c>
      <c r="E32" s="44"/>
      <c r="F32" s="45"/>
      <c r="G32" s="45"/>
      <c r="H32" s="45"/>
      <c r="I32" s="45"/>
      <c r="J32" s="45"/>
      <c r="K32" s="45"/>
      <c r="L32" s="45"/>
      <c r="M32" s="45"/>
    </row>
    <row r="33" spans="1:13" ht="15.75">
      <c r="A33" s="45"/>
      <c r="B33" s="45"/>
      <c r="C33" s="45">
        <v>0</v>
      </c>
      <c r="E33" s="44"/>
      <c r="F33" s="45"/>
      <c r="G33" s="45"/>
      <c r="H33" s="45"/>
      <c r="I33" s="45"/>
      <c r="J33" s="45"/>
      <c r="K33" s="45"/>
      <c r="L33" s="45"/>
      <c r="M33" s="45"/>
    </row>
    <row r="34" spans="1:13" ht="15.75">
      <c r="A34" s="45"/>
      <c r="B34" s="45"/>
      <c r="C34" s="45">
        <v>0</v>
      </c>
      <c r="E34" s="44"/>
      <c r="F34" s="45"/>
      <c r="G34" s="45"/>
      <c r="H34" s="45"/>
      <c r="I34" s="45"/>
      <c r="J34" s="45"/>
      <c r="K34" s="45"/>
      <c r="L34" s="45"/>
      <c r="M34" s="45"/>
    </row>
    <row r="35" spans="1:13" ht="15.75">
      <c r="A35" s="45"/>
      <c r="B35" s="45"/>
      <c r="C35" s="45">
        <v>0</v>
      </c>
      <c r="E35" s="44"/>
      <c r="F35" s="45"/>
      <c r="G35" s="45"/>
      <c r="H35" s="45"/>
      <c r="I35" s="45"/>
      <c r="J35" s="45"/>
      <c r="K35" s="45"/>
      <c r="L35" s="45"/>
      <c r="M35" s="45"/>
    </row>
    <row r="36" spans="1:13" ht="15.75">
      <c r="A36" s="45"/>
      <c r="B36" s="45"/>
      <c r="C36" s="45">
        <v>0</v>
      </c>
      <c r="E36" s="44"/>
      <c r="F36" s="45"/>
      <c r="G36" s="45"/>
      <c r="H36" s="45"/>
      <c r="I36" s="45"/>
      <c r="J36" s="45"/>
      <c r="K36" s="45"/>
      <c r="L36" s="45"/>
      <c r="M36" s="45"/>
    </row>
    <row r="37" spans="1:13" ht="15.75">
      <c r="A37" s="45" t="s">
        <v>259</v>
      </c>
      <c r="B37" s="45"/>
      <c r="C37" s="45"/>
      <c r="E37" s="45">
        <v>9.3333333330000006</v>
      </c>
      <c r="F37" s="45">
        <v>2.111111111</v>
      </c>
      <c r="G37" s="45">
        <v>4.6111111109999996</v>
      </c>
      <c r="H37" s="45">
        <v>5.8888888890000004</v>
      </c>
      <c r="I37" s="45">
        <v>5.5555555559999998</v>
      </c>
      <c r="J37" s="45">
        <v>9.7222222219999992</v>
      </c>
      <c r="K37" s="45">
        <v>5.7222222220000001</v>
      </c>
      <c r="L37" s="45">
        <v>9.3888888890000004</v>
      </c>
      <c r="M37" s="45">
        <v>49.666666669999998</v>
      </c>
    </row>
    <row r="38" spans="1:13" ht="15.75">
      <c r="A38" s="45" t="s">
        <v>260</v>
      </c>
      <c r="B38" s="45"/>
      <c r="C38" s="45"/>
      <c r="E38" s="44"/>
      <c r="F38" s="45"/>
      <c r="G38" s="45"/>
      <c r="H38" s="45"/>
      <c r="I38" s="45"/>
      <c r="J38" s="45"/>
      <c r="K38" s="45"/>
      <c r="L38" s="45"/>
      <c r="M38" s="45"/>
    </row>
    <row r="39" spans="1:13" ht="15.75">
      <c r="A39" s="45" t="s">
        <v>261</v>
      </c>
      <c r="B39" s="45"/>
      <c r="C39" s="45"/>
      <c r="E39" s="44"/>
      <c r="F39" s="45"/>
      <c r="G39" s="45"/>
      <c r="H39" s="45"/>
      <c r="I39" s="45"/>
      <c r="J39" s="45"/>
      <c r="K39" s="45"/>
      <c r="L39" s="45"/>
      <c r="M39" s="45"/>
    </row>
    <row r="40" spans="1:13" ht="15.75">
      <c r="A40" s="45"/>
      <c r="B40" s="45"/>
      <c r="C40" s="45"/>
      <c r="E40" s="44"/>
      <c r="F40" s="45"/>
      <c r="G40" s="45"/>
      <c r="H40" s="45"/>
      <c r="I40" s="45"/>
      <c r="J40" s="45"/>
      <c r="K40" s="45"/>
      <c r="L40" s="45"/>
      <c r="M40" s="45"/>
    </row>
    <row r="41" spans="1:13" ht="15.75">
      <c r="A41" s="45"/>
      <c r="B41" s="45"/>
      <c r="C41" s="45"/>
      <c r="E41" s="44"/>
      <c r="F41" s="45"/>
      <c r="G41" s="45"/>
      <c r="H41" s="45"/>
      <c r="I41" s="45"/>
      <c r="J41" s="45"/>
      <c r="K41" s="45"/>
      <c r="L41" s="45"/>
      <c r="M41" s="45"/>
    </row>
    <row r="42" spans="1:13" ht="15.75">
      <c r="A42" s="45"/>
      <c r="B42" s="45"/>
      <c r="C42" s="45"/>
    </row>
  </sheetData>
  <mergeCells count="3">
    <mergeCell ref="B1:D1"/>
    <mergeCell ref="B2:D2"/>
    <mergeCell ref="E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Lynne Kelly</dc:creator>
  <cp:keywords/>
  <dc:description/>
  <cp:lastModifiedBy/>
  <cp:revision/>
  <dcterms:created xsi:type="dcterms:W3CDTF">2025-03-27T14:46:51Z</dcterms:created>
  <dcterms:modified xsi:type="dcterms:W3CDTF">2026-01-06T10:49:18Z</dcterms:modified>
  <cp:category/>
  <cp:contentStatus/>
</cp:coreProperties>
</file>