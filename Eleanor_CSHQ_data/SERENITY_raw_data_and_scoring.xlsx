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cdud-my.sharepoint.com/personal/isazacoj_tcd_ie/Documents/TCD/PROJECTS/SERENITY/"/>
    </mc:Choice>
  </mc:AlternateContent>
  <xr:revisionPtr revIDLastSave="2916" documentId="13_ncr:1_{D728E887-3F5F-8843-968D-2EA8481B294A}" xr6:coauthVersionLast="47" xr6:coauthVersionMax="47" xr10:uidLastSave="{F66F6EE0-E1CB-46D3-8280-E6366CE23551}"/>
  <bookViews>
    <workbookView xWindow="-120" yWindow="-120" windowWidth="29040" windowHeight="15720" xr2:uid="{3145B2A4-F934-6A4A-8741-17FAE417DB9F}"/>
  </bookViews>
  <sheets>
    <sheet name="Raw data Pt" sheetId="1" r:id="rId1"/>
    <sheet name="Scoring P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" l="1"/>
  <c r="B3" i="2"/>
  <c r="B4" i="2"/>
  <c r="C4" i="2"/>
  <c r="D4" i="2"/>
  <c r="E4" i="2"/>
  <c r="F4" i="2"/>
  <c r="G4" i="2"/>
  <c r="H4" i="2"/>
  <c r="I4" i="2"/>
  <c r="J4" i="2"/>
  <c r="B31" i="2"/>
  <c r="C31" i="2"/>
  <c r="D31" i="2"/>
  <c r="E31" i="2"/>
  <c r="F31" i="2"/>
  <c r="G31" i="2"/>
  <c r="H31" i="2"/>
  <c r="I31" i="2"/>
  <c r="J31" i="2"/>
  <c r="B32" i="2"/>
  <c r="C32" i="2"/>
  <c r="D32" i="2"/>
  <c r="E32" i="2"/>
  <c r="F32" i="2"/>
  <c r="G32" i="2"/>
  <c r="H32" i="2"/>
  <c r="I32" i="2"/>
  <c r="J32" i="2"/>
  <c r="B33" i="2"/>
  <c r="C33" i="2"/>
  <c r="D33" i="2"/>
  <c r="E33" i="2"/>
  <c r="F33" i="2"/>
  <c r="G33" i="2"/>
  <c r="H33" i="2"/>
  <c r="I33" i="2"/>
  <c r="J33" i="2"/>
  <c r="B34" i="2"/>
  <c r="C34" i="2"/>
  <c r="D34" i="2"/>
  <c r="E34" i="2"/>
  <c r="F34" i="2"/>
  <c r="G34" i="2"/>
  <c r="H34" i="2"/>
  <c r="I34" i="2"/>
  <c r="J34" i="2"/>
  <c r="B35" i="2"/>
  <c r="C35" i="2"/>
  <c r="D35" i="2"/>
  <c r="E35" i="2"/>
  <c r="F35" i="2"/>
  <c r="G35" i="2"/>
  <c r="H35" i="2"/>
  <c r="I35" i="2"/>
  <c r="J35" i="2"/>
  <c r="E9" i="2"/>
  <c r="C3" i="2"/>
  <c r="D3" i="2"/>
  <c r="E3" i="2"/>
  <c r="F3" i="2"/>
  <c r="G3" i="2"/>
  <c r="H3" i="2"/>
  <c r="I3" i="2"/>
  <c r="J3" i="2"/>
  <c r="B5" i="2"/>
  <c r="C5" i="2"/>
  <c r="D5" i="2"/>
  <c r="E5" i="2"/>
  <c r="F5" i="2"/>
  <c r="G5" i="2"/>
  <c r="H5" i="2"/>
  <c r="I5" i="2"/>
  <c r="J5" i="2"/>
  <c r="B6" i="2"/>
  <c r="C6" i="2"/>
  <c r="D6" i="2"/>
  <c r="E6" i="2"/>
  <c r="F6" i="2"/>
  <c r="G6" i="2"/>
  <c r="H6" i="2"/>
  <c r="I6" i="2"/>
  <c r="J6" i="2"/>
  <c r="B7" i="2"/>
  <c r="C7" i="2"/>
  <c r="D7" i="2"/>
  <c r="E7" i="2"/>
  <c r="F7" i="2"/>
  <c r="G7" i="2"/>
  <c r="H7" i="2"/>
  <c r="I7" i="2"/>
  <c r="J7" i="2"/>
  <c r="B8" i="2"/>
  <c r="C8" i="2"/>
  <c r="D8" i="2"/>
  <c r="E8" i="2"/>
  <c r="F8" i="2"/>
  <c r="G8" i="2"/>
  <c r="H8" i="2"/>
  <c r="I8" i="2"/>
  <c r="J8" i="2"/>
  <c r="B9" i="2"/>
  <c r="C9" i="2"/>
  <c r="D9" i="2"/>
  <c r="F9" i="2"/>
  <c r="G9" i="2"/>
  <c r="H9" i="2"/>
  <c r="I9" i="2"/>
  <c r="J9" i="2"/>
  <c r="B10" i="2"/>
  <c r="C10" i="2"/>
  <c r="D10" i="2"/>
  <c r="E10" i="2"/>
  <c r="F10" i="2"/>
  <c r="G10" i="2"/>
  <c r="H10" i="2"/>
  <c r="I10" i="2"/>
  <c r="J10" i="2"/>
  <c r="B11" i="2"/>
  <c r="C11" i="2"/>
  <c r="D11" i="2"/>
  <c r="E11" i="2"/>
  <c r="F11" i="2"/>
  <c r="G11" i="2"/>
  <c r="H11" i="2"/>
  <c r="I11" i="2"/>
  <c r="J11" i="2"/>
  <c r="B12" i="2"/>
  <c r="C12" i="2"/>
  <c r="D12" i="2"/>
  <c r="E12" i="2"/>
  <c r="F12" i="2"/>
  <c r="G12" i="2"/>
  <c r="H12" i="2"/>
  <c r="I12" i="2"/>
  <c r="J12" i="2"/>
  <c r="B13" i="2"/>
  <c r="C13" i="2"/>
  <c r="D13" i="2"/>
  <c r="E13" i="2"/>
  <c r="F13" i="2"/>
  <c r="G13" i="2"/>
  <c r="H13" i="2"/>
  <c r="I13" i="2"/>
  <c r="J13" i="2"/>
  <c r="B14" i="2"/>
  <c r="C14" i="2"/>
  <c r="D14" i="2"/>
  <c r="E14" i="2"/>
  <c r="F14" i="2"/>
  <c r="G14" i="2"/>
  <c r="H14" i="2"/>
  <c r="I14" i="2"/>
  <c r="J14" i="2"/>
  <c r="B15" i="2"/>
  <c r="C15" i="2"/>
  <c r="D15" i="2"/>
  <c r="E15" i="2"/>
  <c r="F15" i="2"/>
  <c r="G15" i="2"/>
  <c r="H15" i="2"/>
  <c r="I15" i="2"/>
  <c r="B16" i="2"/>
  <c r="C16" i="2"/>
  <c r="D16" i="2"/>
  <c r="E16" i="2"/>
  <c r="F16" i="2"/>
  <c r="G16" i="2"/>
  <c r="H16" i="2"/>
  <c r="I16" i="2"/>
  <c r="J16" i="2"/>
  <c r="B17" i="2"/>
  <c r="C17" i="2"/>
  <c r="D17" i="2"/>
  <c r="E17" i="2"/>
  <c r="F17" i="2"/>
  <c r="G17" i="2"/>
  <c r="H17" i="2"/>
  <c r="I17" i="2"/>
  <c r="J17" i="2"/>
  <c r="B18" i="2"/>
  <c r="C18" i="2"/>
  <c r="D18" i="2"/>
  <c r="E18" i="2"/>
  <c r="F18" i="2"/>
  <c r="G18" i="2"/>
  <c r="H18" i="2"/>
  <c r="I18" i="2"/>
  <c r="J18" i="2"/>
  <c r="B19" i="2"/>
  <c r="C19" i="2"/>
  <c r="D19" i="2"/>
  <c r="E19" i="2"/>
  <c r="F19" i="2"/>
  <c r="G19" i="2"/>
  <c r="H19" i="2"/>
  <c r="I19" i="2"/>
  <c r="J19" i="2"/>
  <c r="B20" i="2"/>
  <c r="C20" i="2"/>
  <c r="D20" i="2"/>
  <c r="E20" i="2"/>
  <c r="F20" i="2"/>
  <c r="G20" i="2"/>
  <c r="H20" i="2"/>
  <c r="I20" i="2"/>
  <c r="J20" i="2"/>
  <c r="B21" i="2"/>
  <c r="C21" i="2"/>
  <c r="D21" i="2"/>
  <c r="E21" i="2"/>
  <c r="F21" i="2"/>
  <c r="G21" i="2"/>
  <c r="H21" i="2"/>
  <c r="I21" i="2"/>
  <c r="J21" i="2"/>
  <c r="B22" i="2"/>
  <c r="C22" i="2"/>
  <c r="D22" i="2"/>
  <c r="E22" i="2"/>
  <c r="F22" i="2"/>
  <c r="G22" i="2"/>
  <c r="H22" i="2"/>
  <c r="I22" i="2"/>
  <c r="J22" i="2"/>
  <c r="B23" i="2"/>
  <c r="C23" i="2"/>
  <c r="D23" i="2"/>
  <c r="E23" i="2"/>
  <c r="F23" i="2"/>
  <c r="G23" i="2"/>
  <c r="H23" i="2"/>
  <c r="I23" i="2"/>
  <c r="J23" i="2"/>
  <c r="B24" i="2"/>
  <c r="C24" i="2"/>
  <c r="D24" i="2"/>
  <c r="E24" i="2"/>
  <c r="F24" i="2"/>
  <c r="G24" i="2"/>
  <c r="H24" i="2"/>
  <c r="I24" i="2"/>
  <c r="J24" i="2"/>
  <c r="B25" i="2"/>
  <c r="C25" i="2"/>
  <c r="D25" i="2"/>
  <c r="E25" i="2"/>
  <c r="F25" i="2"/>
  <c r="G25" i="2"/>
  <c r="H25" i="2"/>
  <c r="I25" i="2"/>
  <c r="J25" i="2"/>
  <c r="B26" i="2"/>
  <c r="C26" i="2"/>
  <c r="D26" i="2"/>
  <c r="E26" i="2"/>
  <c r="F26" i="2"/>
  <c r="G26" i="2"/>
  <c r="H26" i="2"/>
  <c r="I26" i="2"/>
  <c r="J26" i="2"/>
  <c r="B27" i="2"/>
  <c r="C27" i="2"/>
  <c r="D27" i="2"/>
  <c r="E27" i="2"/>
  <c r="F27" i="2"/>
  <c r="G27" i="2"/>
  <c r="H27" i="2"/>
  <c r="I27" i="2"/>
  <c r="J27" i="2"/>
  <c r="B28" i="2"/>
  <c r="C28" i="2"/>
  <c r="D28" i="2"/>
  <c r="E28" i="2"/>
  <c r="F28" i="2"/>
  <c r="G28" i="2"/>
  <c r="H28" i="2"/>
  <c r="I28" i="2"/>
  <c r="J28" i="2"/>
  <c r="B29" i="2"/>
  <c r="C29" i="2"/>
  <c r="D29" i="2"/>
  <c r="E29" i="2"/>
  <c r="F29" i="2"/>
  <c r="G29" i="2"/>
  <c r="H29" i="2"/>
  <c r="I29" i="2"/>
  <c r="J29" i="2"/>
  <c r="B30" i="2"/>
  <c r="C30" i="2"/>
  <c r="D30" i="2"/>
  <c r="E30" i="2"/>
  <c r="F30" i="2"/>
  <c r="G30" i="2"/>
  <c r="H30" i="2"/>
  <c r="I30" i="2"/>
  <c r="J30" i="2"/>
</calcChain>
</file>

<file path=xl/sharedStrings.xml><?xml version="1.0" encoding="utf-8"?>
<sst xmlns="http://schemas.openxmlformats.org/spreadsheetml/2006/main" count="104" uniqueCount="62">
  <si>
    <t>Nimbus ID</t>
  </si>
  <si>
    <t>Child’s bedtime</t>
  </si>
  <si>
    <t>Child’s usual wake time</t>
  </si>
  <si>
    <t>Amount of sleep each night (no naps) (hh:mm)</t>
  </si>
  <si>
    <t>Amount of sleep each day (naps) (hh:mm)</t>
  </si>
  <si>
    <t>Scoring: 1 (Usually), 2 (Sometimes), 3 (Rarely)</t>
  </si>
  <si>
    <t>Scoring: 0 (Not Sleepy), 1 (Very Sleepy), 2 (Falls Asleep)</t>
  </si>
  <si>
    <t>Scoring: 3 (Usually), 2 (Sometimes), 1 (Rarely)</t>
  </si>
  <si>
    <t>Minutes a night waking usually lasts</t>
  </si>
  <si>
    <t>Comments</t>
  </si>
  <si>
    <t>Subscale 1 (6-18)</t>
  </si>
  <si>
    <t>Subscale 2 (1-3)</t>
  </si>
  <si>
    <t>Subscale 3 (3-9)</t>
  </si>
  <si>
    <t>Subscale 4 (4-12)</t>
  </si>
  <si>
    <t>Subscale 5 (3-9)</t>
  </si>
  <si>
    <t>Subscale 6 (7-21)</t>
  </si>
  <si>
    <t>Subscale 7 (3-9)</t>
  </si>
  <si>
    <t>Subscale 8 (6-22)</t>
  </si>
  <si>
    <t>Total sleep disturbance score (31-97)</t>
  </si>
  <si>
    <t>Bedtime Resistance</t>
  </si>
  <si>
    <t>Sleep Onset Delay</t>
  </si>
  <si>
    <t>Sleep Duration</t>
  </si>
  <si>
    <t>Sleep Anxiety</t>
  </si>
  <si>
    <t>Night Wakings</t>
  </si>
  <si>
    <t>Parasomnias</t>
  </si>
  <si>
    <t>Sleep Disordered Breathing</t>
  </si>
  <si>
    <t>Daytime sleepiness</t>
  </si>
  <si>
    <t>Subscale 1</t>
  </si>
  <si>
    <t>Subscale 2</t>
  </si>
  <si>
    <t>Subscale 3</t>
  </si>
  <si>
    <t>Subscale 8</t>
  </si>
  <si>
    <t>Subscale 1, 4</t>
  </si>
  <si>
    <t>Subscale 4</t>
  </si>
  <si>
    <t xml:space="preserve">Subscale 4 </t>
  </si>
  <si>
    <t>Subscale 5</t>
  </si>
  <si>
    <t xml:space="preserve">Subscale 5 </t>
  </si>
  <si>
    <t>Subscale 6</t>
  </si>
  <si>
    <t>Subscale 7</t>
  </si>
  <si>
    <t>TUH06</t>
  </si>
  <si>
    <t>TUH09</t>
  </si>
  <si>
    <t>THU10</t>
  </si>
  <si>
    <t>THU11</t>
  </si>
  <si>
    <t>THU12</t>
  </si>
  <si>
    <t>THU13</t>
  </si>
  <si>
    <t>THU15</t>
  </si>
  <si>
    <t>THU16</t>
  </si>
  <si>
    <t>THU17</t>
  </si>
  <si>
    <t>THU18</t>
  </si>
  <si>
    <t>THU19</t>
  </si>
  <si>
    <t>TUH20</t>
  </si>
  <si>
    <t>THU22</t>
  </si>
  <si>
    <t>THU23</t>
  </si>
  <si>
    <t>THU24</t>
  </si>
  <si>
    <t>THU25</t>
  </si>
  <si>
    <t>THU26</t>
  </si>
  <si>
    <t>THU27</t>
  </si>
  <si>
    <t>THU28</t>
  </si>
  <si>
    <t>Previous score did not subtracted repeated values from scoring sheet</t>
  </si>
  <si>
    <t>The previous score recorded 18 as 1; it should be 2.</t>
  </si>
  <si>
    <t>Different numbers for 7, 8, 16, 17 and 18 possibly due to Clinical evaluation.</t>
  </si>
  <si>
    <t>Different numbers for 17 and 18, possibly due to Clinical evaluation. Final values add to 53, different to 54 from previous analysis</t>
  </si>
  <si>
    <t>30 and 33 were answered as "Yes", this was not reflected in previous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</si>
</sst>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5" tint="0.3999755851924192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 wrapText="1"/>
    </xf>
    <xf numFmtId="0" fontId="2" fillId="14" borderId="2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20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1" fillId="18" borderId="1" xfId="0" applyFont="1" applyFill="1" applyBorder="1" applyAlignment="1">
      <alignment horizontal="center" wrapText="1"/>
    </xf>
    <xf numFmtId="0" fontId="1" fillId="19" borderId="1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20" fontId="0" fillId="0" borderId="0" xfId="0" applyNumberFormat="1" applyFill="1"/>
    <xf numFmtId="0" fontId="0" fillId="0" borderId="0" xfId="0" applyFill="1"/>
    <xf numFmtId="0" fontId="4" fillId="0" borderId="0" xfId="0" applyFont="1" applyFill="1" applyAlignment="1">
      <alignment horizontal="center"/>
    </xf>
    <xf numFmtId="0" fontId="5" fillId="0" borderId="0" xfId="0" applyFont="1" applyFill="1"/>
    <xf numFmtId="0" fontId="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/>
    <xf numFmtId="0" fontId="1" fillId="6" borderId="5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0" fillId="20" borderId="0" xfId="0" applyFill="1"/>
    <xf numFmtId="0" fontId="0" fillId="0" borderId="0" xfId="0" applyFill="1" applyBorder="1"/>
    <xf numFmtId="0" fontId="5" fillId="21" borderId="0" xfId="0" applyFont="1" applyFill="1"/>
    <xf numFmtId="0" fontId="0" fillId="21" borderId="0" xfId="0" applyFont="1" applyFill="1" applyBorder="1"/>
    <xf numFmtId="0" fontId="0" fillId="21" borderId="0" xfId="0" applyFont="1" applyFill="1"/>
    <xf numFmtId="0" fontId="4" fillId="21" borderId="0" xfId="0" applyFont="1" applyFill="1" applyAlignment="1">
      <alignment horizontal="center"/>
    </xf>
    <xf numFmtId="0" fontId="1" fillId="16" borderId="1" xfId="0" applyFont="1" applyFill="1" applyBorder="1" applyAlignment="1">
      <alignment horizontal="center" wrapText="1"/>
    </xf>
    <xf numFmtId="0" fontId="1" fillId="16" borderId="1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15" borderId="3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20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D8D7-4375-6543-912D-83F6CF348F3A}">
  <dimension ref="A1:AN36"/>
  <sheetViews>
    <sheetView tabSelected="1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X22" sqref="X22"/>
    </sheetView>
  </sheetViews>
  <sheetFormatPr defaultColWidth="11" defaultRowHeight="15.75" x14ac:dyDescent="0.25"/>
  <cols>
    <col min="4" max="4" width="19.5" customWidth="1"/>
    <col min="5" max="5" width="16.375" customWidth="1"/>
    <col min="6" max="6" width="10.375" customWidth="1"/>
    <col min="7" max="7" width="9.875" customWidth="1"/>
    <col min="8" max="8" width="10.75" customWidth="1"/>
    <col min="9" max="9" width="10.5" customWidth="1"/>
    <col min="10" max="10" width="10.625" customWidth="1"/>
    <col min="11" max="11" width="10.375" customWidth="1"/>
    <col min="12" max="12" width="10.75" customWidth="1"/>
    <col min="13" max="13" width="10.25" customWidth="1"/>
    <col min="14" max="14" width="10.125" customWidth="1"/>
    <col min="16" max="16" width="11.875" customWidth="1"/>
    <col min="17" max="17" width="13.125" customWidth="1"/>
    <col min="24" max="24" width="16.875" customWidth="1"/>
    <col min="40" max="40" width="19" customWidth="1"/>
  </cols>
  <sheetData>
    <row r="1" spans="1:40" ht="50.1" customHeight="1" x14ac:dyDescent="0.25">
      <c r="A1" s="52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1" t="s">
        <v>5</v>
      </c>
      <c r="G1" s="50"/>
      <c r="H1" s="50"/>
      <c r="I1" s="50"/>
      <c r="J1" s="50"/>
      <c r="K1" s="50"/>
      <c r="L1" s="49" t="s">
        <v>6</v>
      </c>
      <c r="M1" s="49"/>
      <c r="N1" s="50" t="s">
        <v>7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40" ht="51.95" customHeight="1" x14ac:dyDescent="0.25">
      <c r="A2" s="52"/>
      <c r="B2" s="53"/>
      <c r="C2" s="53"/>
      <c r="D2" s="53"/>
      <c r="E2" s="53"/>
      <c r="F2" s="34" t="s">
        <v>27</v>
      </c>
      <c r="G2" s="10" t="s">
        <v>27</v>
      </c>
      <c r="H2" s="11" t="s">
        <v>28</v>
      </c>
      <c r="I2" s="12" t="s">
        <v>29</v>
      </c>
      <c r="J2" s="12" t="s">
        <v>29</v>
      </c>
      <c r="K2" s="13" t="s">
        <v>30</v>
      </c>
      <c r="L2" s="13" t="s">
        <v>30</v>
      </c>
      <c r="M2" s="13" t="s">
        <v>30</v>
      </c>
      <c r="N2" s="10" t="s">
        <v>27</v>
      </c>
      <c r="O2" s="10" t="s">
        <v>27</v>
      </c>
      <c r="P2" s="15" t="s">
        <v>31</v>
      </c>
      <c r="Q2" s="15" t="s">
        <v>31</v>
      </c>
      <c r="R2" s="12" t="s">
        <v>29</v>
      </c>
      <c r="S2" s="14" t="s">
        <v>32</v>
      </c>
      <c r="T2" s="14" t="s">
        <v>33</v>
      </c>
      <c r="U2" s="9" t="s">
        <v>34</v>
      </c>
      <c r="V2" s="9" t="s">
        <v>34</v>
      </c>
      <c r="W2" s="9" t="s">
        <v>35</v>
      </c>
      <c r="X2" s="9" t="s">
        <v>8</v>
      </c>
      <c r="Y2" s="16" t="s">
        <v>36</v>
      </c>
      <c r="Z2" s="16" t="s">
        <v>36</v>
      </c>
      <c r="AA2" s="16" t="s">
        <v>36</v>
      </c>
      <c r="AB2" s="16" t="s">
        <v>36</v>
      </c>
      <c r="AC2" s="16" t="s">
        <v>36</v>
      </c>
      <c r="AD2" s="16" t="s">
        <v>36</v>
      </c>
      <c r="AE2" s="16" t="s">
        <v>36</v>
      </c>
      <c r="AF2" s="17" t="s">
        <v>37</v>
      </c>
      <c r="AG2" s="17" t="s">
        <v>37</v>
      </c>
      <c r="AH2" s="17" t="s">
        <v>37</v>
      </c>
      <c r="AI2" s="13" t="s">
        <v>30</v>
      </c>
      <c r="AJ2" s="13" t="s">
        <v>30</v>
      </c>
      <c r="AK2" s="13" t="s">
        <v>30</v>
      </c>
      <c r="AL2" s="13" t="s">
        <v>30</v>
      </c>
      <c r="AM2" s="13" t="s">
        <v>30</v>
      </c>
      <c r="AN2" s="33" t="s">
        <v>9</v>
      </c>
    </row>
    <row r="3" spans="1:40" x14ac:dyDescent="0.25">
      <c r="A3" s="52"/>
      <c r="B3" s="53"/>
      <c r="C3" s="53"/>
      <c r="D3" s="53"/>
      <c r="E3" s="53"/>
      <c r="F3" s="35">
        <v>1</v>
      </c>
      <c r="G3" s="35">
        <v>2</v>
      </c>
      <c r="H3" s="36">
        <v>3</v>
      </c>
      <c r="I3" s="37">
        <v>4</v>
      </c>
      <c r="J3" s="37">
        <v>5</v>
      </c>
      <c r="K3" s="42">
        <v>6</v>
      </c>
      <c r="L3" s="42">
        <v>7</v>
      </c>
      <c r="M3" s="42">
        <v>8</v>
      </c>
      <c r="N3" s="35">
        <v>9</v>
      </c>
      <c r="O3" s="35">
        <v>10</v>
      </c>
      <c r="P3" s="35">
        <v>11</v>
      </c>
      <c r="Q3" s="35">
        <v>12</v>
      </c>
      <c r="R3" s="37">
        <v>13</v>
      </c>
      <c r="S3" s="38">
        <v>14</v>
      </c>
      <c r="T3" s="38">
        <v>15</v>
      </c>
      <c r="U3" s="39">
        <v>16</v>
      </c>
      <c r="V3" s="39">
        <v>17</v>
      </c>
      <c r="W3" s="39">
        <v>18</v>
      </c>
      <c r="X3" s="39"/>
      <c r="Y3" s="40">
        <v>19</v>
      </c>
      <c r="Z3" s="40">
        <v>20</v>
      </c>
      <c r="AA3" s="40">
        <v>21</v>
      </c>
      <c r="AB3" s="40">
        <v>22</v>
      </c>
      <c r="AC3" s="40">
        <v>23</v>
      </c>
      <c r="AD3" s="40">
        <v>24</v>
      </c>
      <c r="AE3" s="40">
        <v>25</v>
      </c>
      <c r="AF3" s="41">
        <v>26</v>
      </c>
      <c r="AG3" s="41">
        <v>27</v>
      </c>
      <c r="AH3" s="41">
        <v>28</v>
      </c>
      <c r="AI3" s="42">
        <v>29</v>
      </c>
      <c r="AJ3" s="42">
        <v>30</v>
      </c>
      <c r="AK3" s="42">
        <v>31</v>
      </c>
      <c r="AL3" s="42">
        <v>32</v>
      </c>
      <c r="AM3" s="42">
        <v>33</v>
      </c>
      <c r="AN3" s="27"/>
    </row>
    <row r="4" spans="1:40" x14ac:dyDescent="0.25">
      <c r="A4" s="28" t="s">
        <v>38</v>
      </c>
      <c r="B4" s="26">
        <v>0.91666666666666663</v>
      </c>
      <c r="C4" s="26">
        <v>0.33333333333333331</v>
      </c>
      <c r="D4" s="26">
        <v>0.34722222222222221</v>
      </c>
      <c r="E4" s="26">
        <v>6.25E-2</v>
      </c>
      <c r="F4" s="27">
        <v>1</v>
      </c>
      <c r="G4" s="27">
        <v>1</v>
      </c>
      <c r="H4" s="27">
        <v>2</v>
      </c>
      <c r="I4" s="27">
        <v>1</v>
      </c>
      <c r="J4" s="27">
        <v>1</v>
      </c>
      <c r="K4" s="27">
        <v>1</v>
      </c>
      <c r="L4" s="27">
        <v>0</v>
      </c>
      <c r="M4" s="27">
        <v>2</v>
      </c>
      <c r="N4" s="27">
        <v>1</v>
      </c>
      <c r="O4" s="27">
        <v>1</v>
      </c>
      <c r="P4" s="27">
        <v>1</v>
      </c>
      <c r="Q4" s="27">
        <v>1</v>
      </c>
      <c r="R4" s="27">
        <v>1</v>
      </c>
      <c r="S4" s="27">
        <v>1</v>
      </c>
      <c r="T4" s="27">
        <v>1</v>
      </c>
      <c r="U4" s="43"/>
      <c r="V4" s="27">
        <v>3</v>
      </c>
      <c r="W4" s="27">
        <v>1</v>
      </c>
      <c r="X4" s="26">
        <v>2.0833333333333332E-2</v>
      </c>
      <c r="Y4" s="27">
        <v>1</v>
      </c>
      <c r="Z4" s="27">
        <v>1</v>
      </c>
      <c r="AA4" s="27">
        <v>1</v>
      </c>
      <c r="AB4" s="27">
        <v>1</v>
      </c>
      <c r="AC4" s="27">
        <v>2</v>
      </c>
      <c r="AD4" s="27">
        <v>1</v>
      </c>
      <c r="AE4" s="27">
        <v>1</v>
      </c>
      <c r="AF4" s="27">
        <v>3</v>
      </c>
      <c r="AG4" s="27">
        <v>2</v>
      </c>
      <c r="AH4" s="27">
        <v>3</v>
      </c>
      <c r="AI4" s="27">
        <v>1</v>
      </c>
      <c r="AJ4" s="27">
        <v>1</v>
      </c>
      <c r="AK4" s="27">
        <v>1</v>
      </c>
      <c r="AL4" s="27">
        <v>1</v>
      </c>
      <c r="AM4" s="27">
        <v>1</v>
      </c>
      <c r="AN4" s="27"/>
    </row>
    <row r="5" spans="1:40" x14ac:dyDescent="0.25">
      <c r="A5" s="28" t="s">
        <v>39</v>
      </c>
      <c r="B5" s="26">
        <v>0.85416666666666663</v>
      </c>
      <c r="C5" s="26">
        <v>0.29166666666666669</v>
      </c>
      <c r="D5" s="26">
        <v>0.4375</v>
      </c>
      <c r="E5" s="26"/>
      <c r="F5" s="27">
        <v>1</v>
      </c>
      <c r="G5" s="27">
        <v>1</v>
      </c>
      <c r="H5" s="27">
        <v>2</v>
      </c>
      <c r="I5" s="27">
        <v>1</v>
      </c>
      <c r="J5" s="27">
        <v>1</v>
      </c>
      <c r="K5" s="27">
        <v>1</v>
      </c>
      <c r="L5" s="43"/>
      <c r="M5" s="43"/>
      <c r="N5" s="27">
        <v>1</v>
      </c>
      <c r="O5" s="27">
        <v>1</v>
      </c>
      <c r="P5" s="27">
        <v>1</v>
      </c>
      <c r="Q5" s="27">
        <v>1</v>
      </c>
      <c r="R5" s="27">
        <v>1</v>
      </c>
      <c r="S5" s="27">
        <v>1</v>
      </c>
      <c r="T5" s="27">
        <v>1</v>
      </c>
      <c r="U5" s="27">
        <v>1</v>
      </c>
      <c r="V5" s="27">
        <v>1</v>
      </c>
      <c r="W5" s="27">
        <v>3</v>
      </c>
      <c r="X5" s="27"/>
      <c r="Y5" s="27">
        <v>1</v>
      </c>
      <c r="Z5" s="27">
        <v>1</v>
      </c>
      <c r="AA5" s="27">
        <v>1</v>
      </c>
      <c r="AB5" s="27">
        <v>1</v>
      </c>
      <c r="AC5" s="27">
        <v>1</v>
      </c>
      <c r="AD5" s="27">
        <v>1</v>
      </c>
      <c r="AE5" s="27">
        <v>1</v>
      </c>
      <c r="AF5" s="27">
        <v>2</v>
      </c>
      <c r="AG5" s="27">
        <v>2</v>
      </c>
      <c r="AH5" s="27">
        <v>2</v>
      </c>
      <c r="AI5" s="27">
        <v>1</v>
      </c>
      <c r="AJ5" s="27">
        <v>1</v>
      </c>
      <c r="AK5" s="27">
        <v>1</v>
      </c>
      <c r="AL5" s="27">
        <v>1</v>
      </c>
      <c r="AM5" s="27">
        <v>2</v>
      </c>
      <c r="AN5" s="27"/>
    </row>
    <row r="6" spans="1:40" x14ac:dyDescent="0.25">
      <c r="A6" s="28" t="s">
        <v>40</v>
      </c>
      <c r="B6" s="26">
        <v>0.83333333333333337</v>
      </c>
      <c r="C6" s="26">
        <v>0.29166666666666669</v>
      </c>
      <c r="D6" s="26">
        <v>0.45833333333333331</v>
      </c>
      <c r="E6" s="26">
        <v>0</v>
      </c>
      <c r="F6" s="27">
        <v>1</v>
      </c>
      <c r="G6" s="27">
        <v>3</v>
      </c>
      <c r="H6" s="27">
        <v>3</v>
      </c>
      <c r="I6" s="27">
        <v>2</v>
      </c>
      <c r="J6" s="27">
        <v>3</v>
      </c>
      <c r="K6" s="27">
        <v>1</v>
      </c>
      <c r="L6" s="27">
        <v>1</v>
      </c>
      <c r="M6" s="27">
        <v>0</v>
      </c>
      <c r="N6" s="27">
        <v>1</v>
      </c>
      <c r="O6" s="27">
        <v>3</v>
      </c>
      <c r="P6" s="27">
        <v>3</v>
      </c>
      <c r="Q6" s="27">
        <v>3</v>
      </c>
      <c r="R6" s="27">
        <v>3</v>
      </c>
      <c r="S6" s="27">
        <v>1</v>
      </c>
      <c r="T6" s="27">
        <v>1</v>
      </c>
      <c r="U6" s="27">
        <v>3</v>
      </c>
      <c r="V6" s="27">
        <v>3</v>
      </c>
      <c r="W6" s="27">
        <v>3</v>
      </c>
      <c r="X6" s="26">
        <v>0.125</v>
      </c>
      <c r="Y6" s="27">
        <v>1</v>
      </c>
      <c r="Z6" s="27">
        <v>3</v>
      </c>
      <c r="AA6" s="27">
        <v>1</v>
      </c>
      <c r="AB6" s="27">
        <v>1</v>
      </c>
      <c r="AC6" s="27">
        <v>3</v>
      </c>
      <c r="AD6" s="27">
        <v>2</v>
      </c>
      <c r="AE6" s="27">
        <v>1</v>
      </c>
      <c r="AF6" s="27">
        <v>1</v>
      </c>
      <c r="AG6" s="27">
        <v>1</v>
      </c>
      <c r="AH6" s="27">
        <v>3</v>
      </c>
      <c r="AI6" s="27">
        <v>3</v>
      </c>
      <c r="AJ6" s="27">
        <v>1</v>
      </c>
      <c r="AK6" s="27">
        <v>1</v>
      </c>
      <c r="AL6" s="27">
        <v>3</v>
      </c>
      <c r="AM6" s="27">
        <v>3</v>
      </c>
      <c r="AN6" s="27"/>
    </row>
    <row r="7" spans="1:40" s="27" customFormat="1" x14ac:dyDescent="0.25">
      <c r="A7" s="48" t="s">
        <v>41</v>
      </c>
      <c r="B7" s="26">
        <v>0.875</v>
      </c>
      <c r="C7" s="26">
        <v>0.25</v>
      </c>
      <c r="D7" s="26">
        <v>0.375</v>
      </c>
      <c r="E7" s="26">
        <v>0</v>
      </c>
      <c r="F7" s="44">
        <v>3</v>
      </c>
      <c r="G7" s="44">
        <v>3</v>
      </c>
      <c r="H7" s="44">
        <v>3</v>
      </c>
      <c r="I7" s="44">
        <v>3</v>
      </c>
      <c r="J7" s="44">
        <v>3</v>
      </c>
      <c r="K7" s="44">
        <v>1</v>
      </c>
      <c r="L7" s="47">
        <v>0</v>
      </c>
      <c r="M7" s="47">
        <v>0</v>
      </c>
      <c r="N7" s="44">
        <v>2</v>
      </c>
      <c r="O7" s="44">
        <v>3</v>
      </c>
      <c r="P7" s="44">
        <v>3</v>
      </c>
      <c r="Q7" s="44">
        <v>3</v>
      </c>
      <c r="R7" s="44">
        <v>3</v>
      </c>
      <c r="S7" s="44">
        <v>3</v>
      </c>
      <c r="T7" s="44">
        <v>3</v>
      </c>
      <c r="U7" s="47">
        <v>1</v>
      </c>
      <c r="V7" s="47">
        <v>3</v>
      </c>
      <c r="W7" s="47">
        <v>3</v>
      </c>
      <c r="Y7" s="44">
        <v>3</v>
      </c>
      <c r="Z7" s="44">
        <v>3</v>
      </c>
      <c r="AA7" s="44">
        <v>1</v>
      </c>
      <c r="AB7" s="44">
        <v>1</v>
      </c>
      <c r="AC7" s="44">
        <v>3</v>
      </c>
      <c r="AD7" s="44">
        <v>3</v>
      </c>
      <c r="AE7" s="44">
        <v>3</v>
      </c>
      <c r="AF7" s="44">
        <v>3</v>
      </c>
      <c r="AG7" s="44">
        <v>3</v>
      </c>
      <c r="AH7" s="44">
        <v>3</v>
      </c>
      <c r="AI7" s="44">
        <v>2</v>
      </c>
      <c r="AJ7" s="44">
        <v>3</v>
      </c>
      <c r="AK7" s="44">
        <v>1</v>
      </c>
      <c r="AL7" s="44">
        <v>3</v>
      </c>
      <c r="AM7" s="44">
        <v>1</v>
      </c>
    </row>
    <row r="8" spans="1:40" x14ac:dyDescent="0.25">
      <c r="A8" s="28" t="s">
        <v>42</v>
      </c>
      <c r="B8" s="26">
        <v>0.85416666666666663</v>
      </c>
      <c r="C8" s="26">
        <v>0.85416666666666663</v>
      </c>
      <c r="D8" s="26">
        <v>0.5</v>
      </c>
      <c r="E8" s="26">
        <v>8.3333333333333329E-2</v>
      </c>
      <c r="F8" s="44">
        <v>1</v>
      </c>
      <c r="G8" s="44">
        <v>1</v>
      </c>
      <c r="H8" s="44">
        <v>3</v>
      </c>
      <c r="I8" s="44">
        <v>2</v>
      </c>
      <c r="J8" s="44">
        <v>2</v>
      </c>
      <c r="K8" s="44">
        <v>1</v>
      </c>
      <c r="L8" s="44">
        <v>2</v>
      </c>
      <c r="M8" s="44">
        <v>2</v>
      </c>
      <c r="N8" s="44">
        <v>2</v>
      </c>
      <c r="O8" s="44">
        <v>2</v>
      </c>
      <c r="P8" s="44">
        <v>1</v>
      </c>
      <c r="Q8" s="44">
        <v>1</v>
      </c>
      <c r="R8" s="44">
        <v>1</v>
      </c>
      <c r="S8" s="44">
        <v>1</v>
      </c>
      <c r="T8" s="44">
        <v>3</v>
      </c>
      <c r="U8" s="44">
        <v>2</v>
      </c>
      <c r="V8" s="44">
        <v>1</v>
      </c>
      <c r="W8" s="44">
        <v>3</v>
      </c>
      <c r="X8" s="56">
        <v>8.3333333333333329E-2</v>
      </c>
      <c r="Y8" s="44">
        <v>1</v>
      </c>
      <c r="Z8" s="44">
        <v>3</v>
      </c>
      <c r="AA8" s="44">
        <v>1</v>
      </c>
      <c r="AB8" s="44">
        <v>3</v>
      </c>
      <c r="AC8" s="44">
        <v>1</v>
      </c>
      <c r="AD8" s="44">
        <v>3</v>
      </c>
      <c r="AE8" s="44">
        <v>2</v>
      </c>
      <c r="AF8" s="44">
        <v>2</v>
      </c>
      <c r="AG8" s="44">
        <v>3</v>
      </c>
      <c r="AH8" s="44">
        <v>2</v>
      </c>
      <c r="AI8" s="44">
        <v>2</v>
      </c>
      <c r="AJ8" s="44">
        <v>3</v>
      </c>
      <c r="AK8" s="44">
        <v>1</v>
      </c>
      <c r="AL8" s="44">
        <v>2</v>
      </c>
      <c r="AM8" s="44">
        <v>3</v>
      </c>
      <c r="AN8" s="27"/>
    </row>
    <row r="9" spans="1:40" x14ac:dyDescent="0.25">
      <c r="A9" s="28" t="s">
        <v>43</v>
      </c>
      <c r="B9" s="26">
        <v>0.91666666666666663</v>
      </c>
      <c r="C9" s="26">
        <v>0.29166666666666669</v>
      </c>
      <c r="D9" s="26">
        <v>0.375</v>
      </c>
      <c r="E9" s="26">
        <v>0.125</v>
      </c>
      <c r="F9" s="44">
        <v>1</v>
      </c>
      <c r="G9" s="44">
        <v>3</v>
      </c>
      <c r="H9" s="44">
        <v>1</v>
      </c>
      <c r="I9" s="44">
        <v>1</v>
      </c>
      <c r="J9" s="44">
        <v>2</v>
      </c>
      <c r="K9" s="44">
        <v>1</v>
      </c>
      <c r="L9" s="27">
        <v>0</v>
      </c>
      <c r="M9" s="27">
        <v>2</v>
      </c>
      <c r="N9" s="44">
        <v>3</v>
      </c>
      <c r="O9" s="44">
        <v>1</v>
      </c>
      <c r="P9" s="44">
        <v>3</v>
      </c>
      <c r="Q9" s="44">
        <v>1</v>
      </c>
      <c r="R9" s="44">
        <v>2</v>
      </c>
      <c r="S9" s="44">
        <v>1</v>
      </c>
      <c r="T9" s="44">
        <v>1</v>
      </c>
      <c r="U9" s="44">
        <v>3</v>
      </c>
      <c r="V9" s="44">
        <v>3</v>
      </c>
      <c r="W9" s="44">
        <v>2</v>
      </c>
      <c r="X9" s="26">
        <v>6.9444444444444441E-3</v>
      </c>
      <c r="Y9" s="44">
        <v>1</v>
      </c>
      <c r="Z9" s="44">
        <v>1</v>
      </c>
      <c r="AA9" s="44">
        <v>1</v>
      </c>
      <c r="AB9" s="44">
        <v>2</v>
      </c>
      <c r="AC9" s="44">
        <v>1</v>
      </c>
      <c r="AD9" s="44">
        <v>1</v>
      </c>
      <c r="AE9" s="44">
        <v>3</v>
      </c>
      <c r="AF9" s="44">
        <v>3</v>
      </c>
      <c r="AG9" s="44">
        <v>2</v>
      </c>
      <c r="AH9" s="44">
        <v>2</v>
      </c>
      <c r="AI9" s="44">
        <v>2</v>
      </c>
      <c r="AJ9" s="44">
        <v>2</v>
      </c>
      <c r="AK9" s="44">
        <v>1</v>
      </c>
      <c r="AL9" s="44">
        <v>2</v>
      </c>
      <c r="AM9" s="44">
        <v>1</v>
      </c>
      <c r="AN9" s="27"/>
    </row>
    <row r="10" spans="1:40" s="27" customFormat="1" x14ac:dyDescent="0.25">
      <c r="A10" s="48" t="s">
        <v>44</v>
      </c>
      <c r="B10" s="26">
        <v>0.91666666666666663</v>
      </c>
      <c r="C10" s="26">
        <v>0.3125</v>
      </c>
      <c r="D10" s="26">
        <v>0.35416666666666669</v>
      </c>
      <c r="E10" s="26">
        <v>4.1666666666666664E-2</v>
      </c>
      <c r="F10" s="44">
        <v>1</v>
      </c>
      <c r="G10" s="44">
        <v>3</v>
      </c>
      <c r="H10" s="44">
        <v>1</v>
      </c>
      <c r="I10" s="44">
        <v>1</v>
      </c>
      <c r="J10" s="44">
        <v>2</v>
      </c>
      <c r="K10" s="44">
        <v>1</v>
      </c>
      <c r="L10" s="44">
        <v>0</v>
      </c>
      <c r="M10" s="44">
        <v>1</v>
      </c>
      <c r="N10" s="44">
        <v>1</v>
      </c>
      <c r="O10" s="44">
        <v>1</v>
      </c>
      <c r="P10" s="44">
        <v>3</v>
      </c>
      <c r="Q10" s="44">
        <v>3</v>
      </c>
      <c r="R10" s="44">
        <v>2</v>
      </c>
      <c r="S10" s="44">
        <v>1</v>
      </c>
      <c r="T10" s="44">
        <v>1</v>
      </c>
      <c r="U10" s="44">
        <v>1</v>
      </c>
      <c r="V10" s="47">
        <v>3</v>
      </c>
      <c r="W10" s="47">
        <v>3</v>
      </c>
      <c r="X10" s="26">
        <v>2.0833333333333333E-3</v>
      </c>
      <c r="Y10" s="44">
        <v>1</v>
      </c>
      <c r="Z10" s="44">
        <v>3</v>
      </c>
      <c r="AA10" s="44">
        <v>1</v>
      </c>
      <c r="AB10" s="44">
        <v>3</v>
      </c>
      <c r="AC10" s="44">
        <v>2</v>
      </c>
      <c r="AD10" s="44">
        <v>1</v>
      </c>
      <c r="AE10" s="44">
        <v>1</v>
      </c>
      <c r="AF10" s="44">
        <v>1</v>
      </c>
      <c r="AG10" s="44">
        <v>3</v>
      </c>
      <c r="AH10" s="44">
        <v>3</v>
      </c>
      <c r="AI10" s="44">
        <v>1</v>
      </c>
      <c r="AJ10" s="44">
        <v>1</v>
      </c>
      <c r="AK10" s="44">
        <v>1</v>
      </c>
      <c r="AL10" s="44">
        <v>1</v>
      </c>
      <c r="AM10" s="44">
        <v>1</v>
      </c>
    </row>
    <row r="11" spans="1:40" s="27" customFormat="1" x14ac:dyDescent="0.25">
      <c r="A11" s="48" t="s">
        <v>45</v>
      </c>
      <c r="B11" s="26">
        <v>0.83333333333333337</v>
      </c>
      <c r="C11" s="26">
        <v>0.29166666666666669</v>
      </c>
      <c r="D11" s="26">
        <v>0.45833333333333331</v>
      </c>
      <c r="E11" s="26">
        <v>0.14583333333333334</v>
      </c>
      <c r="F11" s="44">
        <v>2</v>
      </c>
      <c r="G11" s="44">
        <v>1</v>
      </c>
      <c r="H11" s="44">
        <v>3</v>
      </c>
      <c r="I11" s="44">
        <v>1</v>
      </c>
      <c r="J11" s="44">
        <v>2</v>
      </c>
      <c r="K11" s="44">
        <v>1</v>
      </c>
      <c r="L11" s="44">
        <v>2</v>
      </c>
      <c r="M11" s="44">
        <v>0</v>
      </c>
      <c r="N11" s="44">
        <v>1</v>
      </c>
      <c r="O11" s="44">
        <v>1</v>
      </c>
      <c r="P11" s="44">
        <v>1</v>
      </c>
      <c r="Q11" s="44">
        <v>1</v>
      </c>
      <c r="R11" s="44">
        <v>1</v>
      </c>
      <c r="S11" s="27">
        <v>3</v>
      </c>
      <c r="T11" s="44">
        <v>1</v>
      </c>
      <c r="U11" s="27">
        <v>1</v>
      </c>
      <c r="V11" s="44">
        <v>2</v>
      </c>
      <c r="W11" s="44">
        <v>2</v>
      </c>
      <c r="X11" s="26">
        <v>1.3888888888888889E-3</v>
      </c>
      <c r="Y11" s="44">
        <v>1</v>
      </c>
      <c r="Z11" s="44">
        <v>1</v>
      </c>
      <c r="AA11" s="44">
        <v>1</v>
      </c>
      <c r="AB11" s="44">
        <v>3</v>
      </c>
      <c r="AC11" s="44">
        <v>1</v>
      </c>
      <c r="AD11" s="44">
        <v>1</v>
      </c>
      <c r="AE11" s="44">
        <v>1</v>
      </c>
      <c r="AF11" s="44">
        <v>1</v>
      </c>
      <c r="AG11" s="44">
        <v>1</v>
      </c>
      <c r="AH11" s="44">
        <v>1</v>
      </c>
      <c r="AI11" s="44">
        <v>1</v>
      </c>
      <c r="AJ11" s="46">
        <v>3</v>
      </c>
      <c r="AK11" s="44">
        <v>1</v>
      </c>
      <c r="AM11" s="46">
        <v>3</v>
      </c>
    </row>
    <row r="12" spans="1:40" x14ac:dyDescent="0.25">
      <c r="A12" s="28" t="s">
        <v>46</v>
      </c>
      <c r="B12" s="26"/>
      <c r="C12" s="26"/>
      <c r="D12" s="26"/>
      <c r="E12" s="26"/>
      <c r="F12" s="44">
        <v>2</v>
      </c>
      <c r="G12" s="44">
        <v>3</v>
      </c>
      <c r="H12" s="44">
        <v>3</v>
      </c>
      <c r="I12" s="44">
        <v>2</v>
      </c>
      <c r="J12" s="44">
        <v>2</v>
      </c>
      <c r="K12" s="44">
        <v>1</v>
      </c>
      <c r="L12" s="44">
        <v>0</v>
      </c>
      <c r="M12" s="44">
        <v>0</v>
      </c>
      <c r="N12" s="44">
        <v>2</v>
      </c>
      <c r="O12" s="44">
        <v>2</v>
      </c>
      <c r="P12" s="44">
        <v>3</v>
      </c>
      <c r="Q12" s="44">
        <v>1</v>
      </c>
      <c r="R12" s="44">
        <v>1</v>
      </c>
      <c r="S12" s="44">
        <v>1</v>
      </c>
      <c r="T12" s="44">
        <v>1</v>
      </c>
      <c r="U12" s="44">
        <v>1</v>
      </c>
      <c r="V12" s="44">
        <v>2</v>
      </c>
      <c r="W12" s="44">
        <v>1</v>
      </c>
      <c r="X12" s="26">
        <v>2.0833333333333332E-2</v>
      </c>
      <c r="Y12" s="44">
        <v>1</v>
      </c>
      <c r="Z12" s="44">
        <v>2</v>
      </c>
      <c r="AA12" s="44">
        <v>1</v>
      </c>
      <c r="AB12" s="44">
        <v>1</v>
      </c>
      <c r="AC12" s="44">
        <v>2</v>
      </c>
      <c r="AD12" s="44">
        <v>1</v>
      </c>
      <c r="AE12" s="44">
        <v>1</v>
      </c>
      <c r="AF12" s="44">
        <v>3</v>
      </c>
      <c r="AG12" s="44">
        <v>3</v>
      </c>
      <c r="AH12" s="44">
        <v>3</v>
      </c>
      <c r="AI12" s="44">
        <v>1</v>
      </c>
      <c r="AJ12" s="44">
        <v>1</v>
      </c>
      <c r="AK12" s="44">
        <v>1</v>
      </c>
      <c r="AL12" s="44">
        <v>1</v>
      </c>
      <c r="AM12" s="44">
        <v>1</v>
      </c>
      <c r="AN12" s="27"/>
    </row>
    <row r="13" spans="1:40" x14ac:dyDescent="0.25">
      <c r="A13" s="28" t="s">
        <v>47</v>
      </c>
      <c r="B13" s="26">
        <v>0.83333333333333337</v>
      </c>
      <c r="C13" s="26">
        <v>0.20833333333333334</v>
      </c>
      <c r="D13" s="26">
        <v>0.375</v>
      </c>
      <c r="E13" s="26">
        <v>6.25E-2</v>
      </c>
      <c r="F13" s="44">
        <v>1</v>
      </c>
      <c r="G13" s="44">
        <v>3</v>
      </c>
      <c r="H13" s="44">
        <v>3</v>
      </c>
      <c r="I13" s="44">
        <v>1</v>
      </c>
      <c r="J13" s="44">
        <v>1</v>
      </c>
      <c r="K13" s="44">
        <v>1</v>
      </c>
      <c r="L13" s="44">
        <v>2</v>
      </c>
      <c r="M13" s="44">
        <v>2</v>
      </c>
      <c r="N13" s="44">
        <v>1</v>
      </c>
      <c r="O13" s="44">
        <v>1</v>
      </c>
      <c r="P13" s="44">
        <v>3</v>
      </c>
      <c r="Q13" s="44">
        <v>1</v>
      </c>
      <c r="R13" s="44">
        <v>1</v>
      </c>
      <c r="S13" s="44">
        <v>1</v>
      </c>
      <c r="T13" s="44">
        <v>1</v>
      </c>
      <c r="U13" s="44">
        <v>1</v>
      </c>
      <c r="V13" s="44">
        <v>3</v>
      </c>
      <c r="W13" s="44">
        <v>3</v>
      </c>
      <c r="X13" s="26">
        <v>4.1666666666666664E-2</v>
      </c>
      <c r="Y13" s="44">
        <v>1</v>
      </c>
      <c r="Z13" s="44">
        <v>1</v>
      </c>
      <c r="AA13" s="44">
        <v>1</v>
      </c>
      <c r="AB13" s="44">
        <v>3</v>
      </c>
      <c r="AC13" s="44">
        <v>3</v>
      </c>
      <c r="AD13" s="44">
        <v>1</v>
      </c>
      <c r="AE13" s="44">
        <v>1</v>
      </c>
      <c r="AF13" s="44">
        <v>3</v>
      </c>
      <c r="AG13" s="44">
        <v>3</v>
      </c>
      <c r="AH13" s="44">
        <v>3</v>
      </c>
      <c r="AI13" s="44">
        <v>1</v>
      </c>
      <c r="AJ13" s="44">
        <v>3</v>
      </c>
      <c r="AK13" s="44">
        <v>3</v>
      </c>
      <c r="AL13" s="44">
        <v>3</v>
      </c>
      <c r="AM13" s="44">
        <v>1</v>
      </c>
      <c r="AN13" s="27"/>
    </row>
    <row r="14" spans="1:40" x14ac:dyDescent="0.25">
      <c r="A14" s="28" t="s">
        <v>48</v>
      </c>
      <c r="B14" s="26">
        <v>0.91666666666666663</v>
      </c>
      <c r="C14" s="26">
        <v>0.27083333333333331</v>
      </c>
      <c r="D14" s="26">
        <v>0.35416666666666669</v>
      </c>
      <c r="E14" s="26">
        <v>8.3333333333333329E-2</v>
      </c>
      <c r="F14" s="44">
        <v>2</v>
      </c>
      <c r="G14" s="44">
        <v>2</v>
      </c>
      <c r="H14" s="44">
        <v>2</v>
      </c>
      <c r="I14" s="44">
        <v>1</v>
      </c>
      <c r="J14" s="44">
        <v>1</v>
      </c>
      <c r="K14" s="44">
        <v>1</v>
      </c>
      <c r="L14" s="44">
        <v>2</v>
      </c>
      <c r="M14" s="44">
        <v>0</v>
      </c>
      <c r="N14" s="44">
        <v>1</v>
      </c>
      <c r="O14" s="44">
        <v>2</v>
      </c>
      <c r="P14" s="44">
        <v>1</v>
      </c>
      <c r="Q14" s="44">
        <v>1</v>
      </c>
      <c r="R14" s="44">
        <v>1</v>
      </c>
      <c r="S14" s="44">
        <v>1</v>
      </c>
      <c r="T14" s="44">
        <v>1</v>
      </c>
      <c r="U14" s="44">
        <v>1</v>
      </c>
      <c r="V14" s="44">
        <v>3</v>
      </c>
      <c r="W14" s="44">
        <v>3</v>
      </c>
      <c r="X14" s="26">
        <v>6.9444444444444441E-3</v>
      </c>
      <c r="Y14" s="44">
        <v>1</v>
      </c>
      <c r="Z14" s="44">
        <v>1</v>
      </c>
      <c r="AA14" s="44">
        <v>1</v>
      </c>
      <c r="AB14" s="44">
        <v>2</v>
      </c>
      <c r="AC14" s="44">
        <v>1</v>
      </c>
      <c r="AD14" s="44">
        <v>1</v>
      </c>
      <c r="AE14" s="44">
        <v>1</v>
      </c>
      <c r="AF14" s="44">
        <v>1</v>
      </c>
      <c r="AG14" s="44">
        <v>2</v>
      </c>
      <c r="AH14" s="44">
        <v>2</v>
      </c>
      <c r="AI14" s="44">
        <v>2</v>
      </c>
      <c r="AJ14" s="44">
        <v>1</v>
      </c>
      <c r="AK14" s="44">
        <v>1</v>
      </c>
      <c r="AL14" s="44">
        <v>1</v>
      </c>
      <c r="AM14" s="44">
        <v>1</v>
      </c>
      <c r="AN14" s="27"/>
    </row>
    <row r="15" spans="1:40" x14ac:dyDescent="0.25">
      <c r="A15" s="28" t="s">
        <v>49</v>
      </c>
      <c r="B15" s="26">
        <v>0.85416666666666663</v>
      </c>
      <c r="C15" s="26">
        <v>0.33333333333333331</v>
      </c>
      <c r="D15" s="26">
        <v>0.52083333333333337</v>
      </c>
      <c r="E15" s="26"/>
      <c r="F15" s="44">
        <v>1</v>
      </c>
      <c r="G15" s="44">
        <v>1</v>
      </c>
      <c r="H15" s="44">
        <v>1</v>
      </c>
      <c r="I15" s="44">
        <v>1</v>
      </c>
      <c r="J15" s="44">
        <v>1</v>
      </c>
      <c r="K15" s="44">
        <v>2</v>
      </c>
      <c r="L15" s="44">
        <v>1</v>
      </c>
      <c r="M15" s="44">
        <v>2</v>
      </c>
      <c r="N15" s="44">
        <v>1</v>
      </c>
      <c r="O15" s="44">
        <v>1</v>
      </c>
      <c r="P15" s="44">
        <v>1</v>
      </c>
      <c r="Q15" s="44">
        <v>1</v>
      </c>
      <c r="R15" s="44">
        <v>1</v>
      </c>
      <c r="S15" s="44">
        <v>1</v>
      </c>
      <c r="T15" s="44">
        <v>1</v>
      </c>
      <c r="U15" s="44">
        <v>1</v>
      </c>
      <c r="V15" s="44">
        <v>1</v>
      </c>
      <c r="W15" s="44">
        <v>1</v>
      </c>
      <c r="X15" s="27"/>
      <c r="Y15" s="44">
        <v>1</v>
      </c>
      <c r="Z15" s="44">
        <v>1</v>
      </c>
      <c r="AA15" s="44">
        <v>1</v>
      </c>
      <c r="AB15" s="44">
        <v>3</v>
      </c>
      <c r="AC15" s="44">
        <v>1</v>
      </c>
      <c r="AD15" s="44">
        <v>1</v>
      </c>
      <c r="AE15" s="44">
        <v>1</v>
      </c>
      <c r="AF15" s="44">
        <v>1</v>
      </c>
      <c r="AG15" s="44">
        <v>1</v>
      </c>
      <c r="AH15" s="44">
        <v>1</v>
      </c>
      <c r="AI15" s="44">
        <v>1</v>
      </c>
      <c r="AJ15" s="44">
        <v>1</v>
      </c>
      <c r="AK15" s="44">
        <v>1</v>
      </c>
      <c r="AL15" s="44">
        <v>1</v>
      </c>
      <c r="AM15" s="44">
        <v>1</v>
      </c>
      <c r="AN15" s="27"/>
    </row>
    <row r="16" spans="1:40" s="27" customFormat="1" x14ac:dyDescent="0.25">
      <c r="A16" s="48" t="s">
        <v>50</v>
      </c>
      <c r="B16" s="26"/>
      <c r="C16" s="26"/>
      <c r="D16" s="26"/>
      <c r="E16" s="26"/>
      <c r="F16" s="44">
        <v>1</v>
      </c>
      <c r="G16" s="44">
        <v>1</v>
      </c>
      <c r="H16" s="44">
        <v>3</v>
      </c>
      <c r="I16" s="44">
        <v>1</v>
      </c>
      <c r="J16" s="44">
        <v>2</v>
      </c>
      <c r="K16" s="44">
        <v>1</v>
      </c>
      <c r="L16" s="44">
        <v>2</v>
      </c>
      <c r="M16" s="44">
        <v>2</v>
      </c>
      <c r="N16" s="44">
        <v>1</v>
      </c>
      <c r="O16" s="44">
        <v>1</v>
      </c>
      <c r="P16" s="44">
        <v>1</v>
      </c>
      <c r="Q16" s="44">
        <v>1</v>
      </c>
      <c r="R16" s="44">
        <v>1</v>
      </c>
      <c r="S16" s="44">
        <v>1</v>
      </c>
      <c r="T16" s="44">
        <v>1</v>
      </c>
      <c r="U16" s="44">
        <v>1</v>
      </c>
      <c r="V16" s="44">
        <v>1</v>
      </c>
      <c r="W16" s="44">
        <v>2</v>
      </c>
      <c r="Y16" s="44">
        <v>1</v>
      </c>
      <c r="Z16" s="44">
        <v>1</v>
      </c>
      <c r="AA16" s="44">
        <v>1</v>
      </c>
      <c r="AB16" s="44">
        <v>1</v>
      </c>
      <c r="AC16" s="44">
        <v>1</v>
      </c>
      <c r="AD16" s="44">
        <v>1</v>
      </c>
      <c r="AE16" s="44">
        <v>2</v>
      </c>
      <c r="AF16" s="44">
        <v>2</v>
      </c>
      <c r="AG16" s="44">
        <v>1</v>
      </c>
      <c r="AH16" s="44">
        <v>1</v>
      </c>
      <c r="AI16" s="44">
        <v>1</v>
      </c>
      <c r="AJ16" s="44">
        <v>1</v>
      </c>
      <c r="AK16" s="44">
        <v>1</v>
      </c>
      <c r="AL16" s="44">
        <v>1</v>
      </c>
      <c r="AM16" s="44">
        <v>1</v>
      </c>
    </row>
    <row r="17" spans="1:40" x14ac:dyDescent="0.25">
      <c r="A17" s="28" t="s">
        <v>51</v>
      </c>
      <c r="B17" s="26">
        <v>0.85416666666666663</v>
      </c>
      <c r="C17" s="26">
        <v>0.27083333333333331</v>
      </c>
      <c r="D17" s="26">
        <v>0.41666666666666669</v>
      </c>
      <c r="E17" s="26">
        <v>0</v>
      </c>
      <c r="F17" s="44">
        <v>1</v>
      </c>
      <c r="G17" s="44">
        <v>1</v>
      </c>
      <c r="H17" s="44">
        <v>1</v>
      </c>
      <c r="I17" s="44">
        <v>1</v>
      </c>
      <c r="J17" s="44">
        <v>1</v>
      </c>
      <c r="K17" s="44">
        <v>1</v>
      </c>
      <c r="L17" s="44">
        <v>0</v>
      </c>
      <c r="M17" s="44">
        <v>0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T17" s="44">
        <v>1</v>
      </c>
      <c r="U17" s="44">
        <v>1</v>
      </c>
      <c r="V17" s="44">
        <v>3</v>
      </c>
      <c r="W17" s="44">
        <v>2</v>
      </c>
      <c r="X17" s="26">
        <v>1.0416666666666666E-2</v>
      </c>
      <c r="Y17" s="44">
        <v>1</v>
      </c>
      <c r="Z17" s="44">
        <v>1</v>
      </c>
      <c r="AA17" s="44">
        <v>1</v>
      </c>
      <c r="AB17" s="44">
        <v>3</v>
      </c>
      <c r="AC17" s="44">
        <v>3</v>
      </c>
      <c r="AD17" s="44">
        <v>1</v>
      </c>
      <c r="AE17" s="44">
        <v>1</v>
      </c>
      <c r="AF17" s="44">
        <v>2</v>
      </c>
      <c r="AG17" s="44">
        <v>1</v>
      </c>
      <c r="AH17" s="44">
        <v>1</v>
      </c>
      <c r="AI17" s="44">
        <v>1</v>
      </c>
      <c r="AJ17" s="44">
        <v>1</v>
      </c>
      <c r="AK17" s="44">
        <v>1</v>
      </c>
      <c r="AL17" s="44">
        <v>2</v>
      </c>
      <c r="AM17" s="44">
        <v>1</v>
      </c>
      <c r="AN17" s="27"/>
    </row>
    <row r="18" spans="1:40" x14ac:dyDescent="0.25">
      <c r="A18" s="28" t="s">
        <v>52</v>
      </c>
      <c r="B18" s="26">
        <v>0.79166666666666663</v>
      </c>
      <c r="C18" s="26"/>
      <c r="D18" s="26"/>
      <c r="E18" s="26"/>
      <c r="F18" s="44">
        <v>1</v>
      </c>
      <c r="G18" s="44">
        <v>1</v>
      </c>
      <c r="H18" s="44">
        <v>3</v>
      </c>
      <c r="I18" s="44">
        <v>2</v>
      </c>
      <c r="J18" s="44">
        <v>2</v>
      </c>
      <c r="K18" s="44">
        <v>1</v>
      </c>
      <c r="L18" s="44">
        <v>1</v>
      </c>
      <c r="M18" s="44">
        <v>2</v>
      </c>
      <c r="N18" s="44">
        <v>2</v>
      </c>
      <c r="O18" s="44">
        <v>2</v>
      </c>
      <c r="P18" s="44">
        <v>1</v>
      </c>
      <c r="Q18" s="44">
        <v>1</v>
      </c>
      <c r="R18" s="44">
        <v>2</v>
      </c>
      <c r="S18" s="44">
        <v>1</v>
      </c>
      <c r="T18" s="44">
        <v>1</v>
      </c>
      <c r="U18" s="44">
        <v>3</v>
      </c>
      <c r="V18" s="44">
        <v>2</v>
      </c>
      <c r="W18" s="44">
        <v>3</v>
      </c>
      <c r="X18" s="26">
        <v>4.1666666666666664E-2</v>
      </c>
      <c r="Y18" s="44">
        <v>1</v>
      </c>
      <c r="Z18" s="44">
        <v>2</v>
      </c>
      <c r="AA18" s="44">
        <v>1</v>
      </c>
      <c r="AB18" s="44">
        <v>1</v>
      </c>
      <c r="AC18" s="44">
        <v>2</v>
      </c>
      <c r="AD18" s="44">
        <v>2</v>
      </c>
      <c r="AE18" s="44">
        <v>2</v>
      </c>
      <c r="AF18" s="44">
        <v>1</v>
      </c>
      <c r="AG18" s="44">
        <v>1</v>
      </c>
      <c r="AH18" s="44">
        <v>1</v>
      </c>
      <c r="AI18" s="44">
        <v>2</v>
      </c>
      <c r="AJ18" s="44">
        <v>1</v>
      </c>
      <c r="AK18" s="44">
        <v>1</v>
      </c>
      <c r="AL18" s="44">
        <v>1</v>
      </c>
      <c r="AM18" s="44">
        <v>2</v>
      </c>
      <c r="AN18" s="27"/>
    </row>
    <row r="19" spans="1:40" x14ac:dyDescent="0.25">
      <c r="A19" s="28" t="s">
        <v>53</v>
      </c>
      <c r="B19" s="26">
        <v>0.89583333333333337</v>
      </c>
      <c r="C19" s="26">
        <v>0.3125</v>
      </c>
      <c r="D19" s="26">
        <v>0.41666666666666669</v>
      </c>
      <c r="E19" s="26">
        <v>6.25E-2</v>
      </c>
      <c r="F19" s="44">
        <v>1</v>
      </c>
      <c r="G19" s="44">
        <v>1</v>
      </c>
      <c r="H19" s="44">
        <v>1</v>
      </c>
      <c r="I19" s="44">
        <v>2</v>
      </c>
      <c r="J19" s="44">
        <v>2</v>
      </c>
      <c r="K19" s="44">
        <v>1</v>
      </c>
      <c r="L19" s="44">
        <v>0</v>
      </c>
      <c r="M19" s="44">
        <v>2</v>
      </c>
      <c r="N19" s="44">
        <v>2</v>
      </c>
      <c r="O19" s="44">
        <v>1</v>
      </c>
      <c r="P19" s="44">
        <v>2</v>
      </c>
      <c r="Q19" s="44">
        <v>1</v>
      </c>
      <c r="R19" s="44">
        <v>2</v>
      </c>
      <c r="S19" s="44">
        <v>1</v>
      </c>
      <c r="T19" s="44">
        <v>1</v>
      </c>
      <c r="U19" s="44">
        <v>1</v>
      </c>
      <c r="V19" s="44">
        <v>2</v>
      </c>
      <c r="W19" s="44">
        <v>2</v>
      </c>
      <c r="X19" s="26">
        <v>3.472222222222222E-3</v>
      </c>
      <c r="Y19" s="44">
        <v>1</v>
      </c>
      <c r="Z19" s="44">
        <v>1</v>
      </c>
      <c r="AA19" s="44">
        <v>1</v>
      </c>
      <c r="AB19" s="44">
        <v>2</v>
      </c>
      <c r="AC19" s="44">
        <v>1</v>
      </c>
      <c r="AD19" s="44">
        <v>1</v>
      </c>
      <c r="AE19" s="44">
        <v>1</v>
      </c>
      <c r="AF19" s="44">
        <v>1</v>
      </c>
      <c r="AG19" s="44">
        <v>1</v>
      </c>
      <c r="AH19" s="44">
        <v>1</v>
      </c>
      <c r="AI19" s="44">
        <v>1</v>
      </c>
      <c r="AJ19" s="44">
        <v>1</v>
      </c>
      <c r="AK19" s="44">
        <v>1</v>
      </c>
      <c r="AL19" s="44">
        <v>1</v>
      </c>
      <c r="AM19" s="44">
        <v>1</v>
      </c>
      <c r="AN19" s="27"/>
    </row>
    <row r="20" spans="1:40" x14ac:dyDescent="0.25">
      <c r="A20" s="28" t="s">
        <v>54</v>
      </c>
      <c r="B20" s="26">
        <v>0.85416666666666663</v>
      </c>
      <c r="C20" s="26">
        <v>0.22916666666666666</v>
      </c>
      <c r="D20" s="26">
        <v>0.375</v>
      </c>
      <c r="E20" s="26">
        <v>6.25E-2</v>
      </c>
      <c r="F20" s="44">
        <v>1</v>
      </c>
      <c r="G20" s="44">
        <v>1</v>
      </c>
      <c r="H20" s="44">
        <v>3</v>
      </c>
      <c r="I20" s="44">
        <v>2</v>
      </c>
      <c r="J20" s="44">
        <v>2</v>
      </c>
      <c r="K20" s="44">
        <v>1</v>
      </c>
      <c r="L20" s="44">
        <v>0</v>
      </c>
      <c r="M20" s="44">
        <v>2</v>
      </c>
      <c r="N20" s="44">
        <v>1</v>
      </c>
      <c r="O20" s="44">
        <v>3</v>
      </c>
      <c r="P20" s="44">
        <v>2</v>
      </c>
      <c r="Q20" s="44">
        <v>2</v>
      </c>
      <c r="R20" s="44">
        <v>2</v>
      </c>
      <c r="S20" s="44">
        <v>3</v>
      </c>
      <c r="T20" s="44">
        <v>2</v>
      </c>
      <c r="U20" s="44">
        <v>1</v>
      </c>
      <c r="V20" s="44">
        <v>1</v>
      </c>
      <c r="W20" s="44">
        <v>2</v>
      </c>
      <c r="X20" s="26">
        <v>2.0833333333333332E-2</v>
      </c>
      <c r="Y20" s="44">
        <v>1</v>
      </c>
      <c r="Z20" s="44">
        <v>2</v>
      </c>
      <c r="AA20" s="44">
        <v>1</v>
      </c>
      <c r="AB20" s="44">
        <v>1</v>
      </c>
      <c r="AC20" s="44">
        <v>1</v>
      </c>
      <c r="AD20" s="44">
        <v>1</v>
      </c>
      <c r="AE20" s="44">
        <v>1</v>
      </c>
      <c r="AF20" s="44">
        <v>3</v>
      </c>
      <c r="AG20" s="44">
        <v>3</v>
      </c>
      <c r="AH20" s="44">
        <v>2</v>
      </c>
      <c r="AI20" s="44">
        <v>1</v>
      </c>
      <c r="AJ20" s="44">
        <v>1</v>
      </c>
      <c r="AK20" s="44">
        <v>1</v>
      </c>
      <c r="AL20" s="44">
        <v>1</v>
      </c>
      <c r="AM20" s="44">
        <v>2</v>
      </c>
      <c r="AN20" s="27"/>
    </row>
    <row r="21" spans="1:40" x14ac:dyDescent="0.25">
      <c r="A21" s="28" t="s">
        <v>55</v>
      </c>
      <c r="B21" s="26">
        <v>0.83333333333333337</v>
      </c>
      <c r="C21" s="26">
        <v>0.27083333333333331</v>
      </c>
      <c r="D21" s="26">
        <v>0.4375</v>
      </c>
      <c r="E21" s="26">
        <v>0</v>
      </c>
      <c r="F21" s="44">
        <v>1</v>
      </c>
      <c r="G21" s="44">
        <v>1</v>
      </c>
      <c r="H21" s="44">
        <v>1</v>
      </c>
      <c r="I21" s="44">
        <v>1</v>
      </c>
      <c r="J21" s="44">
        <v>1</v>
      </c>
      <c r="K21" s="44">
        <v>1</v>
      </c>
      <c r="L21" s="44">
        <v>0</v>
      </c>
      <c r="M21" s="44">
        <v>0</v>
      </c>
      <c r="N21" s="44">
        <v>1</v>
      </c>
      <c r="O21" s="44">
        <v>1</v>
      </c>
      <c r="P21" s="44">
        <v>1</v>
      </c>
      <c r="Q21" s="44">
        <v>1</v>
      </c>
      <c r="R21" s="44">
        <v>1</v>
      </c>
      <c r="S21" s="44">
        <v>1</v>
      </c>
      <c r="T21" s="44">
        <v>2</v>
      </c>
      <c r="U21" s="44">
        <v>1</v>
      </c>
      <c r="V21" s="44">
        <v>1</v>
      </c>
      <c r="W21" s="44">
        <v>1</v>
      </c>
      <c r="X21" s="27"/>
      <c r="Y21" s="44">
        <v>1</v>
      </c>
      <c r="Z21" s="44">
        <v>1</v>
      </c>
      <c r="AA21" s="44">
        <v>1</v>
      </c>
      <c r="AB21" s="44">
        <v>1</v>
      </c>
      <c r="AC21" s="44">
        <v>1</v>
      </c>
      <c r="AD21" s="44">
        <v>1</v>
      </c>
      <c r="AE21" s="44">
        <v>1</v>
      </c>
      <c r="AF21" s="44">
        <v>1</v>
      </c>
      <c r="AG21" s="44">
        <v>1</v>
      </c>
      <c r="AH21" s="44">
        <v>1</v>
      </c>
      <c r="AI21" s="44">
        <v>1</v>
      </c>
      <c r="AJ21" s="44">
        <v>2</v>
      </c>
      <c r="AK21" s="44">
        <v>1</v>
      </c>
      <c r="AL21" s="44">
        <v>1</v>
      </c>
      <c r="AM21" s="44">
        <v>1</v>
      </c>
      <c r="AN21" s="27"/>
    </row>
    <row r="22" spans="1:40" x14ac:dyDescent="0.25">
      <c r="A22" s="48" t="s">
        <v>56</v>
      </c>
      <c r="B22" s="26">
        <v>0.89583333333333337</v>
      </c>
      <c r="C22" s="26">
        <v>0.25</v>
      </c>
      <c r="D22" s="26">
        <v>0.35416666666666669</v>
      </c>
      <c r="E22" s="26">
        <v>0.125</v>
      </c>
      <c r="F22" s="44">
        <v>1</v>
      </c>
      <c r="G22" s="44">
        <v>3</v>
      </c>
      <c r="H22" s="44">
        <v>2</v>
      </c>
      <c r="I22" s="44">
        <v>1</v>
      </c>
      <c r="J22" s="44">
        <v>2</v>
      </c>
      <c r="K22" s="44">
        <v>1</v>
      </c>
      <c r="L22" s="43"/>
      <c r="M22" s="43"/>
      <c r="N22" s="44">
        <v>2</v>
      </c>
      <c r="O22" s="44">
        <v>2</v>
      </c>
      <c r="P22" s="44">
        <v>3</v>
      </c>
      <c r="Q22" s="44">
        <v>1</v>
      </c>
      <c r="R22" s="44">
        <v>2</v>
      </c>
      <c r="S22" s="44">
        <v>1</v>
      </c>
      <c r="T22" s="44">
        <v>1</v>
      </c>
      <c r="U22" s="43"/>
      <c r="V22" s="44">
        <v>3</v>
      </c>
      <c r="W22" s="44">
        <v>2</v>
      </c>
      <c r="X22" s="27"/>
      <c r="Y22" s="43"/>
      <c r="Z22" s="44">
        <v>2</v>
      </c>
      <c r="AA22" s="43"/>
      <c r="AB22" s="43"/>
      <c r="AC22" s="43"/>
      <c r="AD22" s="44">
        <v>2</v>
      </c>
      <c r="AE22" s="43"/>
      <c r="AF22" s="44">
        <v>2</v>
      </c>
      <c r="AG22" s="44">
        <v>1</v>
      </c>
      <c r="AH22" s="43"/>
      <c r="AI22" s="44">
        <v>1</v>
      </c>
      <c r="AJ22" s="44">
        <v>1</v>
      </c>
      <c r="AK22" s="44">
        <v>1</v>
      </c>
      <c r="AL22" s="44">
        <v>1</v>
      </c>
      <c r="AM22" s="44">
        <v>1</v>
      </c>
      <c r="AN22" s="27"/>
    </row>
    <row r="23" spans="1:40" x14ac:dyDescent="0.25">
      <c r="A23" s="28"/>
      <c r="B23" s="26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spans="1:40" x14ac:dyDescent="0.25">
      <c r="A24" s="28"/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spans="1:40" x14ac:dyDescent="0.25">
      <c r="A25" s="28"/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spans="1:40" x14ac:dyDescent="0.25">
      <c r="A26" s="28"/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 spans="1:40" x14ac:dyDescent="0.25">
      <c r="A27" s="28"/>
      <c r="B27" s="26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spans="1:40" x14ac:dyDescent="0.25">
      <c r="A28" s="28"/>
      <c r="B28" s="26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spans="1:40" x14ac:dyDescent="0.25">
      <c r="A29" s="28"/>
      <c r="B29" s="26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spans="1:40" x14ac:dyDescent="0.25">
      <c r="A30" s="28"/>
      <c r="B30" s="26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spans="1:40" x14ac:dyDescent="0.25">
      <c r="A31" s="28"/>
      <c r="B31" s="26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spans="1:40" x14ac:dyDescent="0.25">
      <c r="A32" s="30"/>
      <c r="B32" s="26"/>
      <c r="C32" s="26"/>
      <c r="D32" s="26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spans="1:40" x14ac:dyDescent="0.25">
      <c r="A33" s="32"/>
      <c r="B33" s="26"/>
      <c r="C33" s="26"/>
      <c r="D33" s="26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spans="1:40" x14ac:dyDescent="0.25">
      <c r="A34" s="32"/>
      <c r="B34" s="26"/>
      <c r="C34" s="26"/>
      <c r="D34" s="26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spans="1:40" x14ac:dyDescent="0.25">
      <c r="A35" s="32"/>
      <c r="B35" s="26"/>
      <c r="C35" s="26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spans="1:40" x14ac:dyDescent="0.25">
      <c r="A36" s="32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</sheetData>
  <mergeCells count="8">
    <mergeCell ref="L1:M1"/>
    <mergeCell ref="N1:AM1"/>
    <mergeCell ref="F1:K1"/>
    <mergeCell ref="A1:A3"/>
    <mergeCell ref="B1:B3"/>
    <mergeCell ref="C1:C3"/>
    <mergeCell ref="D1:D3"/>
    <mergeCell ref="E1:E3"/>
  </mergeCells>
  <dataValidations count="2">
    <dataValidation type="whole" allowBlank="1" showInputMessage="1" showErrorMessage="1" sqref="N4:W31 I4:K31 F3:H31 Y4:AM31" xr:uid="{5E30A3F2-72B7-D543-8AA4-68649A91C006}">
      <formula1>1</formula1>
      <formula2>3</formula2>
    </dataValidation>
    <dataValidation type="whole" allowBlank="1" showInputMessage="1" showErrorMessage="1" sqref="L4:M31" xr:uid="{435D8A03-5A58-9C4D-A0C1-F00693BB5B9D}">
      <formula1>0</formula1>
      <formula2>2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CDE4-5E79-8D4C-8A33-2C4247646538}">
  <dimension ref="A1:K3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0" sqref="K10"/>
    </sheetView>
  </sheetViews>
  <sheetFormatPr defaultColWidth="11" defaultRowHeight="15.75" x14ac:dyDescent="0.25"/>
  <cols>
    <col min="2" max="2" width="17.125" customWidth="1"/>
    <col min="3" max="3" width="14.875" customWidth="1"/>
    <col min="4" max="4" width="15.625" customWidth="1"/>
    <col min="5" max="5" width="16.375" customWidth="1"/>
    <col min="6" max="6" width="17.625" customWidth="1"/>
    <col min="7" max="7" width="17.875" customWidth="1"/>
    <col min="8" max="8" width="18" customWidth="1"/>
    <col min="9" max="9" width="18.125" customWidth="1"/>
    <col min="10" max="10" width="15.375" customWidth="1"/>
    <col min="11" max="11" width="68.125" customWidth="1"/>
  </cols>
  <sheetData>
    <row r="1" spans="1:11" ht="21.95" customHeight="1" x14ac:dyDescent="0.25">
      <c r="A1" s="52" t="s">
        <v>0</v>
      </c>
      <c r="B1" s="18" t="s">
        <v>10</v>
      </c>
      <c r="C1" s="19" t="s">
        <v>11</v>
      </c>
      <c r="D1" s="20" t="s">
        <v>12</v>
      </c>
      <c r="E1" s="21" t="s">
        <v>13</v>
      </c>
      <c r="F1" s="22" t="s">
        <v>14</v>
      </c>
      <c r="G1" s="23" t="s">
        <v>15</v>
      </c>
      <c r="H1" s="24" t="s">
        <v>16</v>
      </c>
      <c r="I1" s="25" t="s">
        <v>17</v>
      </c>
      <c r="J1" s="54" t="s">
        <v>18</v>
      </c>
    </row>
    <row r="2" spans="1:11" ht="30" x14ac:dyDescent="0.25">
      <c r="A2" s="52"/>
      <c r="B2" s="1" t="s">
        <v>19</v>
      </c>
      <c r="C2" s="3" t="s">
        <v>20</v>
      </c>
      <c r="D2" s="4" t="s">
        <v>21</v>
      </c>
      <c r="E2" s="5" t="s">
        <v>22</v>
      </c>
      <c r="F2" s="2" t="s">
        <v>23</v>
      </c>
      <c r="G2" s="6" t="s">
        <v>24</v>
      </c>
      <c r="H2" s="7" t="s">
        <v>25</v>
      </c>
      <c r="I2" s="8" t="s">
        <v>26</v>
      </c>
      <c r="J2" s="55"/>
    </row>
    <row r="3" spans="1:11" x14ac:dyDescent="0.25">
      <c r="A3" s="28" t="s">
        <v>38</v>
      </c>
      <c r="B3" s="29">
        <f>SUM('Raw data Pt'!F4:G4,'Raw data Pt'!N4:Q4)</f>
        <v>6</v>
      </c>
      <c r="C3" s="29">
        <f>'Raw data Pt'!H4</f>
        <v>2</v>
      </c>
      <c r="D3" s="29">
        <f>SUM('Raw data Pt'!I4:J4,'Raw data Pt'!R4)</f>
        <v>3</v>
      </c>
      <c r="E3" s="29">
        <f>SUM('Raw data Pt'!P4:Q4,'Raw data Pt'!S4:T4)</f>
        <v>4</v>
      </c>
      <c r="F3" s="29">
        <f>SUM('Raw data Pt'!U4:W4)</f>
        <v>4</v>
      </c>
      <c r="G3" s="29">
        <f>SUM('Raw data Pt'!Y4:AE4)</f>
        <v>8</v>
      </c>
      <c r="H3" s="29">
        <f>SUM('Raw data Pt'!AF4:AH4)</f>
        <v>8</v>
      </c>
      <c r="I3" s="29">
        <f>SUM('Raw data Pt'!K4:M4,'Raw data Pt'!AI4:AM4)</f>
        <v>8</v>
      </c>
      <c r="J3" s="29">
        <f>SUM('Raw data Pt'!F4:W4,'Raw data Pt'!Y4:AM4)</f>
        <v>41</v>
      </c>
    </row>
    <row r="4" spans="1:11" x14ac:dyDescent="0.25">
      <c r="A4" s="28" t="s">
        <v>39</v>
      </c>
      <c r="B4" s="29">
        <f>SUM('Raw data Pt'!F5:G5,'Raw data Pt'!N5:Q5)</f>
        <v>6</v>
      </c>
      <c r="C4" s="29">
        <f>'Raw data Pt'!H5</f>
        <v>2</v>
      </c>
      <c r="D4" s="29">
        <f>SUM('Raw data Pt'!I5:J5,'Raw data Pt'!R5)</f>
        <v>3</v>
      </c>
      <c r="E4" s="29">
        <f>SUM('Raw data Pt'!P5:Q5,'Raw data Pt'!S5:T5)</f>
        <v>4</v>
      </c>
      <c r="F4" s="29">
        <f>SUM('Raw data Pt'!U5:W5)</f>
        <v>5</v>
      </c>
      <c r="G4" s="29">
        <f>SUM('Raw data Pt'!Y5:AE5)</f>
        <v>7</v>
      </c>
      <c r="H4" s="29">
        <f>SUM('Raw data Pt'!AF5:AH5)</f>
        <v>6</v>
      </c>
      <c r="I4" s="29">
        <f>SUM('Raw data Pt'!K5:M5,'Raw data Pt'!AI5:AM5)</f>
        <v>7</v>
      </c>
      <c r="J4" s="29">
        <f>SUM('Raw data Pt'!F5:W5,'Raw data Pt'!Y5:AM5)</f>
        <v>38</v>
      </c>
    </row>
    <row r="5" spans="1:11" x14ac:dyDescent="0.25">
      <c r="A5" s="28" t="s">
        <v>40</v>
      </c>
      <c r="B5" s="29">
        <f>SUM('Raw data Pt'!F6:G6,'Raw data Pt'!N6:Q6)</f>
        <v>14</v>
      </c>
      <c r="C5" s="29">
        <f>'Raw data Pt'!H6</f>
        <v>3</v>
      </c>
      <c r="D5" s="29">
        <f>SUM('Raw data Pt'!I6:J6,'Raw data Pt'!R6)</f>
        <v>8</v>
      </c>
      <c r="E5" s="29">
        <f>SUM('Raw data Pt'!P6:Q6,'Raw data Pt'!S6:T6)</f>
        <v>8</v>
      </c>
      <c r="F5" s="29">
        <f>SUM('Raw data Pt'!U6:W6)</f>
        <v>9</v>
      </c>
      <c r="G5" s="29">
        <f>SUM('Raw data Pt'!Y6:AE6)</f>
        <v>12</v>
      </c>
      <c r="H5" s="29">
        <f>SUM('Raw data Pt'!AF6:AH6)</f>
        <v>5</v>
      </c>
      <c r="I5" s="29">
        <f>SUM('Raw data Pt'!K6:M6,'Raw data Pt'!AI6:AM6)</f>
        <v>13</v>
      </c>
      <c r="J5" s="29">
        <f>SUM('Raw data Pt'!F6:W6,'Raw data Pt'!Y6:AM6)</f>
        <v>66</v>
      </c>
    </row>
    <row r="6" spans="1:11" s="27" customFormat="1" x14ac:dyDescent="0.25">
      <c r="A6" s="48" t="s">
        <v>41</v>
      </c>
      <c r="B6" s="29">
        <f>SUM('Raw data Pt'!F7:G7,'Raw data Pt'!N7:Q7)</f>
        <v>17</v>
      </c>
      <c r="C6" s="29">
        <f>'Raw data Pt'!H7</f>
        <v>3</v>
      </c>
      <c r="D6" s="29">
        <f>SUM('Raw data Pt'!I7:J7,'Raw data Pt'!R7)</f>
        <v>9</v>
      </c>
      <c r="E6" s="29">
        <f>SUM('Raw data Pt'!P7:Q7,'Raw data Pt'!S7:T7)</f>
        <v>12</v>
      </c>
      <c r="F6" s="29">
        <f>SUM('Raw data Pt'!U7:W7)</f>
        <v>7</v>
      </c>
      <c r="G6" s="29">
        <f>SUM('Raw data Pt'!Y7:AE7)</f>
        <v>17</v>
      </c>
      <c r="H6" s="29">
        <f>SUM('Raw data Pt'!AF7:AH7)</f>
        <v>9</v>
      </c>
      <c r="I6" s="29">
        <f>SUM('Raw data Pt'!K7:M7,'Raw data Pt'!AI7:AM7)</f>
        <v>11</v>
      </c>
      <c r="J6" s="45">
        <f>SUM('Raw data Pt'!F7:W7,'Raw data Pt'!Y7:AM7)</f>
        <v>79</v>
      </c>
      <c r="K6" s="27" t="s">
        <v>59</v>
      </c>
    </row>
    <row r="7" spans="1:11" x14ac:dyDescent="0.25">
      <c r="A7" s="28" t="s">
        <v>42</v>
      </c>
      <c r="B7" s="29">
        <f>SUM('Raw data Pt'!F8:G8,'Raw data Pt'!N8:Q8)</f>
        <v>8</v>
      </c>
      <c r="C7" s="29">
        <f>'Raw data Pt'!H8</f>
        <v>3</v>
      </c>
      <c r="D7" s="29">
        <f>SUM('Raw data Pt'!I8:J8,'Raw data Pt'!R8)</f>
        <v>5</v>
      </c>
      <c r="E7" s="29">
        <f>SUM('Raw data Pt'!P8:Q8,'Raw data Pt'!S8:T8)</f>
        <v>6</v>
      </c>
      <c r="F7" s="29">
        <f>SUM('Raw data Pt'!U8:W8)</f>
        <v>6</v>
      </c>
      <c r="G7" s="29">
        <f>SUM('Raw data Pt'!Y8:AE8)</f>
        <v>14</v>
      </c>
      <c r="H7" s="29">
        <f>SUM('Raw data Pt'!AF8:AH8)</f>
        <v>7</v>
      </c>
      <c r="I7" s="29">
        <f>SUM('Raw data Pt'!K8:M8,'Raw data Pt'!AI8:AM8)</f>
        <v>16</v>
      </c>
      <c r="J7" s="29">
        <f>SUM('Raw data Pt'!F8:W8,'Raw data Pt'!Y8:AM8)</f>
        <v>63</v>
      </c>
    </row>
    <row r="8" spans="1:11" x14ac:dyDescent="0.25">
      <c r="A8" s="28" t="s">
        <v>43</v>
      </c>
      <c r="B8" s="29">
        <f>SUM('Raw data Pt'!F9:G9,'Raw data Pt'!N9:Q9)</f>
        <v>12</v>
      </c>
      <c r="C8" s="29">
        <f>'Raw data Pt'!H9</f>
        <v>1</v>
      </c>
      <c r="D8" s="29">
        <f>SUM('Raw data Pt'!I9:J9,'Raw data Pt'!R9)</f>
        <v>5</v>
      </c>
      <c r="E8" s="29">
        <f>SUM('Raw data Pt'!P9:Q9,'Raw data Pt'!S9:T9)</f>
        <v>6</v>
      </c>
      <c r="F8" s="29">
        <f>SUM('Raw data Pt'!U9:W9)</f>
        <v>8</v>
      </c>
      <c r="G8" s="29">
        <f>SUM('Raw data Pt'!Y9:AE9)</f>
        <v>10</v>
      </c>
      <c r="H8" s="29">
        <f>SUM('Raw data Pt'!AF9:AH9)</f>
        <v>7</v>
      </c>
      <c r="I8" s="29">
        <f>SUM('Raw data Pt'!K9:M9,'Raw data Pt'!AI9:AM9)</f>
        <v>11</v>
      </c>
      <c r="J8" s="29">
        <f>SUM('Raw data Pt'!F9:W9,'Raw data Pt'!Y9:AM9)</f>
        <v>56</v>
      </c>
    </row>
    <row r="9" spans="1:11" s="27" customFormat="1" x14ac:dyDescent="0.25">
      <c r="A9" s="48" t="s">
        <v>44</v>
      </c>
      <c r="B9" s="29">
        <f>SUM('Raw data Pt'!F10:G10,'Raw data Pt'!N10:Q10)</f>
        <v>12</v>
      </c>
      <c r="C9" s="29">
        <f>'Raw data Pt'!H10</f>
        <v>1</v>
      </c>
      <c r="D9" s="29">
        <f>SUM('Raw data Pt'!I10:J10,'Raw data Pt'!R10)</f>
        <v>5</v>
      </c>
      <c r="E9" s="29">
        <f>SUM('Raw data Pt'!P10:Q10,'Raw data Pt'!S10:T10)</f>
        <v>8</v>
      </c>
      <c r="F9" s="29">
        <f>SUM('Raw data Pt'!U10:W10)</f>
        <v>7</v>
      </c>
      <c r="G9" s="29">
        <f>SUM('Raw data Pt'!Y10:AE10)</f>
        <v>12</v>
      </c>
      <c r="H9" s="29">
        <f>SUM('Raw data Pt'!AF10:AH10)</f>
        <v>7</v>
      </c>
      <c r="I9" s="29">
        <f>SUM('Raw data Pt'!K10:M10,'Raw data Pt'!AI10:AM10)</f>
        <v>7</v>
      </c>
      <c r="J9" s="45">
        <f>SUM('Raw data Pt'!F10:W10,'Raw data Pt'!Y10:AM10)</f>
        <v>53</v>
      </c>
      <c r="K9" s="27" t="s">
        <v>60</v>
      </c>
    </row>
    <row r="10" spans="1:11" s="27" customFormat="1" x14ac:dyDescent="0.25">
      <c r="A10" s="48" t="s">
        <v>45</v>
      </c>
      <c r="B10" s="29">
        <f>SUM('Raw data Pt'!F11:G11,'Raw data Pt'!N11:Q11)</f>
        <v>7</v>
      </c>
      <c r="C10" s="29">
        <f>'Raw data Pt'!H11</f>
        <v>3</v>
      </c>
      <c r="D10" s="29">
        <f>SUM('Raw data Pt'!I11:J11,'Raw data Pt'!R11)</f>
        <v>4</v>
      </c>
      <c r="E10" s="29">
        <f>SUM('Raw data Pt'!P11:Q11,'Raw data Pt'!S11:T11)</f>
        <v>6</v>
      </c>
      <c r="F10" s="29">
        <f>SUM('Raw data Pt'!U11:W11)</f>
        <v>5</v>
      </c>
      <c r="G10" s="29">
        <f>SUM('Raw data Pt'!Y11:AE11)</f>
        <v>9</v>
      </c>
      <c r="H10" s="29">
        <f>SUM('Raw data Pt'!AF11:AH11)</f>
        <v>3</v>
      </c>
      <c r="I10" s="29">
        <f>SUM('Raw data Pt'!K11:M11,'Raw data Pt'!AI11:AM11)</f>
        <v>11</v>
      </c>
      <c r="J10" s="45">
        <f>SUM('Raw data Pt'!F11:W11,'Raw data Pt'!Y11:AM11)</f>
        <v>46</v>
      </c>
      <c r="K10" s="27" t="s">
        <v>61</v>
      </c>
    </row>
    <row r="11" spans="1:11" x14ac:dyDescent="0.25">
      <c r="A11" s="28" t="s">
        <v>46</v>
      </c>
      <c r="B11" s="29">
        <f>SUM('Raw data Pt'!F12:G12,'Raw data Pt'!N12:Q12)</f>
        <v>13</v>
      </c>
      <c r="C11" s="29">
        <f>'Raw data Pt'!H12</f>
        <v>3</v>
      </c>
      <c r="D11" s="29">
        <f>SUM('Raw data Pt'!I12:J12,'Raw data Pt'!R12)</f>
        <v>5</v>
      </c>
      <c r="E11" s="29">
        <f>SUM('Raw data Pt'!P12:Q12,'Raw data Pt'!S12:T12)</f>
        <v>6</v>
      </c>
      <c r="F11" s="29">
        <f>SUM('Raw data Pt'!U12:W12)</f>
        <v>4</v>
      </c>
      <c r="G11" s="29">
        <f>SUM('Raw data Pt'!Y12:AE12)</f>
        <v>9</v>
      </c>
      <c r="H11" s="29">
        <f>SUM('Raw data Pt'!AF12:AH12)</f>
        <v>9</v>
      </c>
      <c r="I11" s="29">
        <f>SUM('Raw data Pt'!K12:M12,'Raw data Pt'!AI12:AM12)</f>
        <v>6</v>
      </c>
      <c r="J11" s="29">
        <f>SUM('Raw data Pt'!F12:W12,'Raw data Pt'!Y12:AM12)</f>
        <v>51</v>
      </c>
    </row>
    <row r="12" spans="1:11" x14ac:dyDescent="0.25">
      <c r="A12" s="28" t="s">
        <v>47</v>
      </c>
      <c r="B12" s="29">
        <f>SUM('Raw data Pt'!F13:G13,'Raw data Pt'!N13:Q13)</f>
        <v>10</v>
      </c>
      <c r="C12" s="29">
        <f>'Raw data Pt'!H13</f>
        <v>3</v>
      </c>
      <c r="D12" s="29">
        <f>SUM('Raw data Pt'!I13:J13,'Raw data Pt'!R13)</f>
        <v>3</v>
      </c>
      <c r="E12" s="29">
        <f>SUM('Raw data Pt'!P13:Q13,'Raw data Pt'!S13:T13)</f>
        <v>6</v>
      </c>
      <c r="F12" s="29">
        <f>SUM('Raw data Pt'!U13:W13)</f>
        <v>7</v>
      </c>
      <c r="G12" s="29">
        <f>SUM('Raw data Pt'!Y13:AE13)</f>
        <v>11</v>
      </c>
      <c r="H12" s="29">
        <f>SUM('Raw data Pt'!AF13:AH13)</f>
        <v>9</v>
      </c>
      <c r="I12" s="29">
        <f>SUM('Raw data Pt'!K13:M13,'Raw data Pt'!AI13:AM13)</f>
        <v>16</v>
      </c>
      <c r="J12" s="29">
        <f>SUM('Raw data Pt'!F13:W13,'Raw data Pt'!Y13:AM13)</f>
        <v>61</v>
      </c>
    </row>
    <row r="13" spans="1:11" x14ac:dyDescent="0.25">
      <c r="A13" s="28" t="s">
        <v>48</v>
      </c>
      <c r="B13" s="29">
        <f>SUM('Raw data Pt'!F14:G14,'Raw data Pt'!N14:Q14)</f>
        <v>9</v>
      </c>
      <c r="C13" s="29">
        <f>'Raw data Pt'!H14</f>
        <v>2</v>
      </c>
      <c r="D13" s="29">
        <f>SUM('Raw data Pt'!I14:J14,'Raw data Pt'!R14)</f>
        <v>3</v>
      </c>
      <c r="E13" s="29">
        <f>SUM('Raw data Pt'!P14:Q14,'Raw data Pt'!S14:T14)</f>
        <v>4</v>
      </c>
      <c r="F13" s="29">
        <f>SUM('Raw data Pt'!U14:W14)</f>
        <v>7</v>
      </c>
      <c r="G13" s="29">
        <f>SUM('Raw data Pt'!Y14:AE14)</f>
        <v>8</v>
      </c>
      <c r="H13" s="29">
        <f>SUM('Raw data Pt'!AF14:AH14)</f>
        <v>5</v>
      </c>
      <c r="I13" s="29">
        <f>SUM('Raw data Pt'!K14:M14,'Raw data Pt'!AI14:AM14)</f>
        <v>9</v>
      </c>
      <c r="J13" s="29">
        <f>SUM('Raw data Pt'!F14:W14,'Raw data Pt'!Y14:AM14)</f>
        <v>45</v>
      </c>
    </row>
    <row r="14" spans="1:11" x14ac:dyDescent="0.25">
      <c r="A14" s="28" t="s">
        <v>49</v>
      </c>
      <c r="B14" s="29">
        <f>SUM('Raw data Pt'!F15:G15,'Raw data Pt'!N15:Q15)</f>
        <v>6</v>
      </c>
      <c r="C14" s="29">
        <f>'Raw data Pt'!H15</f>
        <v>1</v>
      </c>
      <c r="D14" s="29">
        <f>SUM('Raw data Pt'!I15:J15,'Raw data Pt'!R15)</f>
        <v>3</v>
      </c>
      <c r="E14" s="29">
        <f>SUM('Raw data Pt'!P15:Q15,'Raw data Pt'!S15:T15)</f>
        <v>4</v>
      </c>
      <c r="F14" s="29">
        <f>SUM('Raw data Pt'!U15:W15)</f>
        <v>3</v>
      </c>
      <c r="G14" s="29">
        <f>SUM('Raw data Pt'!Y15:AE15)</f>
        <v>9</v>
      </c>
      <c r="H14" s="29">
        <f>SUM('Raw data Pt'!AF15:AH15)</f>
        <v>3</v>
      </c>
      <c r="I14" s="29">
        <f>SUM('Raw data Pt'!K15:M15,'Raw data Pt'!AI15:AM15)</f>
        <v>10</v>
      </c>
      <c r="J14" s="29">
        <f>SUM('Raw data Pt'!F15:W15,'Raw data Pt'!Y15:AM15)</f>
        <v>37</v>
      </c>
    </row>
    <row r="15" spans="1:11" s="27" customFormat="1" x14ac:dyDescent="0.25">
      <c r="A15" s="48" t="s">
        <v>50</v>
      </c>
      <c r="B15" s="29">
        <f>SUM('Raw data Pt'!F16:G16,'Raw data Pt'!N16:Q16)</f>
        <v>6</v>
      </c>
      <c r="C15" s="29">
        <f>'Raw data Pt'!H16</f>
        <v>3</v>
      </c>
      <c r="D15" s="29">
        <f>SUM('Raw data Pt'!I16:J16,'Raw data Pt'!R16)</f>
        <v>4</v>
      </c>
      <c r="E15" s="29">
        <f>SUM('Raw data Pt'!P16:Q16,'Raw data Pt'!S16:T16)</f>
        <v>4</v>
      </c>
      <c r="F15" s="29">
        <f>SUM('Raw data Pt'!U16:W16)</f>
        <v>4</v>
      </c>
      <c r="G15" s="29">
        <f>SUM('Raw data Pt'!Y16:AE16)</f>
        <v>8</v>
      </c>
      <c r="H15" s="29">
        <f>SUM('Raw data Pt'!AF16:AH16)</f>
        <v>4</v>
      </c>
      <c r="I15" s="29">
        <f>SUM('Raw data Pt'!K16:M16,'Raw data Pt'!AI16:AM16)</f>
        <v>10</v>
      </c>
      <c r="J15" s="45">
        <f>SUM('Raw data Pt'!F16:W16,'Raw data Pt'!Y16:AM16)</f>
        <v>41</v>
      </c>
      <c r="K15" s="27" t="s">
        <v>58</v>
      </c>
    </row>
    <row r="16" spans="1:11" x14ac:dyDescent="0.25">
      <c r="A16" s="28" t="s">
        <v>51</v>
      </c>
      <c r="B16" s="29">
        <f>SUM('Raw data Pt'!F17:G17,'Raw data Pt'!N17:Q17)</f>
        <v>6</v>
      </c>
      <c r="C16" s="29">
        <f>'Raw data Pt'!H17</f>
        <v>1</v>
      </c>
      <c r="D16" s="29">
        <f>SUM('Raw data Pt'!I17:J17,'Raw data Pt'!R17)</f>
        <v>3</v>
      </c>
      <c r="E16" s="29">
        <f>SUM('Raw data Pt'!P17:Q17,'Raw data Pt'!S17:T17)</f>
        <v>4</v>
      </c>
      <c r="F16" s="29">
        <f>SUM('Raw data Pt'!U17:W17)</f>
        <v>6</v>
      </c>
      <c r="G16" s="29">
        <f>SUM('Raw data Pt'!Y17:AE17)</f>
        <v>11</v>
      </c>
      <c r="H16" s="29">
        <f>SUM('Raw data Pt'!AF17:AH17)</f>
        <v>4</v>
      </c>
      <c r="I16" s="29">
        <f>SUM('Raw data Pt'!K17:M17,'Raw data Pt'!AI17:AM17)</f>
        <v>7</v>
      </c>
      <c r="J16" s="29">
        <f>SUM('Raw data Pt'!F17:W17,'Raw data Pt'!Y17:AM17)</f>
        <v>40</v>
      </c>
    </row>
    <row r="17" spans="1:11" x14ac:dyDescent="0.25">
      <c r="A17" s="28" t="s">
        <v>52</v>
      </c>
      <c r="B17" s="29">
        <f>SUM('Raw data Pt'!F18:G18,'Raw data Pt'!N18:Q18)</f>
        <v>8</v>
      </c>
      <c r="C17" s="29">
        <f>'Raw data Pt'!H18</f>
        <v>3</v>
      </c>
      <c r="D17" s="29">
        <f>SUM('Raw data Pt'!I18:J18,'Raw data Pt'!R18)</f>
        <v>6</v>
      </c>
      <c r="E17" s="29">
        <f>SUM('Raw data Pt'!P18:Q18,'Raw data Pt'!S18:T18)</f>
        <v>4</v>
      </c>
      <c r="F17" s="29">
        <f>SUM('Raw data Pt'!U18:W18)</f>
        <v>8</v>
      </c>
      <c r="G17" s="29">
        <f>SUM('Raw data Pt'!Y18:AE18)</f>
        <v>11</v>
      </c>
      <c r="H17" s="29">
        <f>SUM('Raw data Pt'!AF18:AH18)</f>
        <v>3</v>
      </c>
      <c r="I17" s="29">
        <f>SUM('Raw data Pt'!K18:M18,'Raw data Pt'!AI18:AM18)</f>
        <v>11</v>
      </c>
      <c r="J17" s="29">
        <f>SUM('Raw data Pt'!F18:W18,'Raw data Pt'!Y18:AM18)</f>
        <v>52</v>
      </c>
    </row>
    <row r="18" spans="1:11" x14ac:dyDescent="0.25">
      <c r="A18" s="28" t="s">
        <v>53</v>
      </c>
      <c r="B18" s="29">
        <f>SUM('Raw data Pt'!F19:G19,'Raw data Pt'!N19:Q19)</f>
        <v>8</v>
      </c>
      <c r="C18" s="29">
        <f>'Raw data Pt'!H19</f>
        <v>1</v>
      </c>
      <c r="D18" s="29">
        <f>SUM('Raw data Pt'!I19:J19,'Raw data Pt'!R19)</f>
        <v>6</v>
      </c>
      <c r="E18" s="29">
        <f>SUM('Raw data Pt'!P19:Q19,'Raw data Pt'!S19:T19)</f>
        <v>5</v>
      </c>
      <c r="F18" s="29">
        <f>SUM('Raw data Pt'!U19:W19)</f>
        <v>5</v>
      </c>
      <c r="G18" s="29">
        <f>SUM('Raw data Pt'!Y19:AE19)</f>
        <v>8</v>
      </c>
      <c r="H18" s="29">
        <f>SUM('Raw data Pt'!AF19:AH19)</f>
        <v>3</v>
      </c>
      <c r="I18" s="29">
        <f>SUM('Raw data Pt'!K19:M19,'Raw data Pt'!AI19:AM19)</f>
        <v>8</v>
      </c>
      <c r="J18" s="29">
        <f>SUM('Raw data Pt'!F19:W19,'Raw data Pt'!Y19:AM19)</f>
        <v>41</v>
      </c>
    </row>
    <row r="19" spans="1:11" x14ac:dyDescent="0.25">
      <c r="A19" s="28" t="s">
        <v>54</v>
      </c>
      <c r="B19" s="29">
        <f>SUM('Raw data Pt'!F20:G20,'Raw data Pt'!N20:Q20)</f>
        <v>10</v>
      </c>
      <c r="C19" s="29">
        <f>'Raw data Pt'!H20</f>
        <v>3</v>
      </c>
      <c r="D19" s="29">
        <f>SUM('Raw data Pt'!I20:J20,'Raw data Pt'!R20)</f>
        <v>6</v>
      </c>
      <c r="E19" s="29">
        <f>SUM('Raw data Pt'!P20:Q20,'Raw data Pt'!S20:T20)</f>
        <v>9</v>
      </c>
      <c r="F19" s="29">
        <f>SUM('Raw data Pt'!U20:W20)</f>
        <v>4</v>
      </c>
      <c r="G19" s="29">
        <f>SUM('Raw data Pt'!Y20:AE20)</f>
        <v>8</v>
      </c>
      <c r="H19" s="29">
        <f>SUM('Raw data Pt'!AF20:AH20)</f>
        <v>8</v>
      </c>
      <c r="I19" s="29">
        <f>SUM('Raw data Pt'!K20:M20,'Raw data Pt'!AI20:AM20)</f>
        <v>9</v>
      </c>
      <c r="J19" s="29">
        <f>SUM('Raw data Pt'!F20:W20,'Raw data Pt'!Y20:AM20)</f>
        <v>53</v>
      </c>
    </row>
    <row r="20" spans="1:11" x14ac:dyDescent="0.25">
      <c r="A20" s="28" t="s">
        <v>55</v>
      </c>
      <c r="B20" s="29">
        <f>SUM('Raw data Pt'!F21:G21,'Raw data Pt'!N21:Q21)</f>
        <v>6</v>
      </c>
      <c r="C20" s="29">
        <f>'Raw data Pt'!H21</f>
        <v>1</v>
      </c>
      <c r="D20" s="29">
        <f>SUM('Raw data Pt'!I21:J21,'Raw data Pt'!R21)</f>
        <v>3</v>
      </c>
      <c r="E20" s="29">
        <f>SUM('Raw data Pt'!P21:Q21,'Raw data Pt'!S21:T21)</f>
        <v>5</v>
      </c>
      <c r="F20" s="29">
        <f>SUM('Raw data Pt'!U21:W21)</f>
        <v>3</v>
      </c>
      <c r="G20" s="29">
        <f>SUM('Raw data Pt'!Y21:AE21)</f>
        <v>7</v>
      </c>
      <c r="H20" s="29">
        <f>SUM('Raw data Pt'!AF21:AH21)</f>
        <v>3</v>
      </c>
      <c r="I20" s="29">
        <f>SUM('Raw data Pt'!K21:M21,'Raw data Pt'!AI21:AM21)</f>
        <v>7</v>
      </c>
      <c r="J20" s="29">
        <f>SUM('Raw data Pt'!F21:W21,'Raw data Pt'!Y21:AM21)</f>
        <v>33</v>
      </c>
    </row>
    <row r="21" spans="1:11" x14ac:dyDescent="0.25">
      <c r="A21" s="48" t="s">
        <v>56</v>
      </c>
      <c r="B21" s="29">
        <f>SUM('Raw data Pt'!F22:G22,'Raw data Pt'!N22:Q22)</f>
        <v>12</v>
      </c>
      <c r="C21" s="29">
        <f>'Raw data Pt'!H22</f>
        <v>2</v>
      </c>
      <c r="D21" s="29">
        <f>SUM('Raw data Pt'!I22:J22,'Raw data Pt'!R22)</f>
        <v>5</v>
      </c>
      <c r="E21" s="29">
        <f>SUM('Raw data Pt'!P22:Q22,'Raw data Pt'!S22:T22)</f>
        <v>6</v>
      </c>
      <c r="F21" s="29">
        <f>SUM('Raw data Pt'!U22:W22)</f>
        <v>5</v>
      </c>
      <c r="G21" s="29">
        <f>SUM('Raw data Pt'!Y22:AE22)</f>
        <v>4</v>
      </c>
      <c r="H21" s="29">
        <f>SUM('Raw data Pt'!AF22:AH22)</f>
        <v>3</v>
      </c>
      <c r="I21" s="29">
        <f>SUM('Raw data Pt'!K22:M22,'Raw data Pt'!AI22:AM22)</f>
        <v>6</v>
      </c>
      <c r="J21" s="45">
        <f>SUM('Raw data Pt'!F22:W22,'Raw data Pt'!Y22:AM22)</f>
        <v>39</v>
      </c>
      <c r="K21" t="s">
        <v>57</v>
      </c>
    </row>
    <row r="22" spans="1:11" x14ac:dyDescent="0.25">
      <c r="A22" s="28"/>
      <c r="B22" s="29">
        <f>SUM('Raw data Pt'!F23:G23,'Raw data Pt'!N23:Q23)</f>
        <v>0</v>
      </c>
      <c r="C22" s="29">
        <f>'Raw data Pt'!H23</f>
        <v>0</v>
      </c>
      <c r="D22" s="29">
        <f>SUM('Raw data Pt'!I23:J23,'Raw data Pt'!R23)</f>
        <v>0</v>
      </c>
      <c r="E22" s="29">
        <f>SUM('Raw data Pt'!P23:Q23,'Raw data Pt'!S23:T23)</f>
        <v>0</v>
      </c>
      <c r="F22" s="29">
        <f>SUM('Raw data Pt'!U23:W23)</f>
        <v>0</v>
      </c>
      <c r="G22" s="29">
        <f>SUM('Raw data Pt'!Y23:AE23)</f>
        <v>0</v>
      </c>
      <c r="H22" s="29">
        <f>SUM('Raw data Pt'!AF23:AH23)</f>
        <v>0</v>
      </c>
      <c r="I22" s="29">
        <f>SUM('Raw data Pt'!K23:M23,'Raw data Pt'!AI23:AM23)</f>
        <v>0</v>
      </c>
      <c r="J22" s="29">
        <f>SUM('Raw data Pt'!F23:W23,'Raw data Pt'!Y23:AM23)</f>
        <v>0</v>
      </c>
    </row>
    <row r="23" spans="1:11" x14ac:dyDescent="0.25">
      <c r="A23" s="28"/>
      <c r="B23" s="29">
        <f>SUM('Raw data Pt'!F24:G24,'Raw data Pt'!N24:Q24)</f>
        <v>0</v>
      </c>
      <c r="C23" s="29">
        <f>'Raw data Pt'!H24</f>
        <v>0</v>
      </c>
      <c r="D23" s="29">
        <f>SUM('Raw data Pt'!I24:J24,'Raw data Pt'!R24)</f>
        <v>0</v>
      </c>
      <c r="E23" s="29">
        <f>SUM('Raw data Pt'!P24:Q24,'Raw data Pt'!S24:T24)</f>
        <v>0</v>
      </c>
      <c r="F23" s="29">
        <f>SUM('Raw data Pt'!U24:W24)</f>
        <v>0</v>
      </c>
      <c r="G23" s="29">
        <f>SUM('Raw data Pt'!Y24:AE24)</f>
        <v>0</v>
      </c>
      <c r="H23" s="29">
        <f>SUM('Raw data Pt'!AF24:AH24)</f>
        <v>0</v>
      </c>
      <c r="I23" s="29">
        <f>SUM('Raw data Pt'!K24:M24,'Raw data Pt'!AI24:AM24)</f>
        <v>0</v>
      </c>
      <c r="J23" s="29">
        <f>SUM('Raw data Pt'!F24:W24,'Raw data Pt'!Y24:AM24)</f>
        <v>0</v>
      </c>
    </row>
    <row r="24" spans="1:11" x14ac:dyDescent="0.25">
      <c r="A24" s="28"/>
      <c r="B24" s="29">
        <f>SUM('Raw data Pt'!F25:G25,'Raw data Pt'!N25:Q25)</f>
        <v>0</v>
      </c>
      <c r="C24" s="29">
        <f>'Raw data Pt'!H25</f>
        <v>0</v>
      </c>
      <c r="D24" s="29">
        <f>SUM('Raw data Pt'!I25:J25,'Raw data Pt'!R25)</f>
        <v>0</v>
      </c>
      <c r="E24" s="29">
        <f>SUM('Raw data Pt'!P25:Q25,'Raw data Pt'!S25:T25)</f>
        <v>0</v>
      </c>
      <c r="F24" s="29">
        <f>SUM('Raw data Pt'!U25:W25)</f>
        <v>0</v>
      </c>
      <c r="G24" s="29">
        <f>SUM('Raw data Pt'!Y25:AE25)</f>
        <v>0</v>
      </c>
      <c r="H24" s="29">
        <f>SUM('Raw data Pt'!AF25:AH25)</f>
        <v>0</v>
      </c>
      <c r="I24" s="29">
        <f>SUM('Raw data Pt'!K25:M25,'Raw data Pt'!AI25:AM25)</f>
        <v>0</v>
      </c>
      <c r="J24" s="29">
        <f>SUM('Raw data Pt'!F25:W25,'Raw data Pt'!Y25:AM25)</f>
        <v>0</v>
      </c>
    </row>
    <row r="25" spans="1:11" x14ac:dyDescent="0.25">
      <c r="A25" s="28"/>
      <c r="B25" s="29">
        <f>SUM('Raw data Pt'!F26:G26,'Raw data Pt'!N26:Q26)</f>
        <v>0</v>
      </c>
      <c r="C25" s="29">
        <f>'Raw data Pt'!H26</f>
        <v>0</v>
      </c>
      <c r="D25" s="29">
        <f>SUM('Raw data Pt'!I26:J26,'Raw data Pt'!R26)</f>
        <v>0</v>
      </c>
      <c r="E25" s="29">
        <f>SUM('Raw data Pt'!P26:Q26,'Raw data Pt'!S26:T26)</f>
        <v>0</v>
      </c>
      <c r="F25" s="29">
        <f>SUM('Raw data Pt'!U26:W26)</f>
        <v>0</v>
      </c>
      <c r="G25" s="29">
        <f>SUM('Raw data Pt'!Y26:AE26)</f>
        <v>0</v>
      </c>
      <c r="H25" s="29">
        <f>SUM('Raw data Pt'!AF26:AH26)</f>
        <v>0</v>
      </c>
      <c r="I25" s="29">
        <f>SUM('Raw data Pt'!K26:M26,'Raw data Pt'!AI26:AM26)</f>
        <v>0</v>
      </c>
      <c r="J25" s="29">
        <f>SUM('Raw data Pt'!F26:W26,'Raw data Pt'!Y26:AM26)</f>
        <v>0</v>
      </c>
    </row>
    <row r="26" spans="1:11" x14ac:dyDescent="0.25">
      <c r="A26" s="28"/>
      <c r="B26" s="29">
        <f>SUM('Raw data Pt'!F27:G27,'Raw data Pt'!N27:Q27)</f>
        <v>0</v>
      </c>
      <c r="C26" s="29">
        <f>'Raw data Pt'!H27</f>
        <v>0</v>
      </c>
      <c r="D26" s="29">
        <f>SUM('Raw data Pt'!I27:J27,'Raw data Pt'!R27)</f>
        <v>0</v>
      </c>
      <c r="E26" s="29">
        <f>SUM('Raw data Pt'!P27:Q27,'Raw data Pt'!S27:T27)</f>
        <v>0</v>
      </c>
      <c r="F26" s="29">
        <f>SUM('Raw data Pt'!U27:W27)</f>
        <v>0</v>
      </c>
      <c r="G26" s="29">
        <f>SUM('Raw data Pt'!Y27:AE27)</f>
        <v>0</v>
      </c>
      <c r="H26" s="29">
        <f>SUM('Raw data Pt'!AF27:AH27)</f>
        <v>0</v>
      </c>
      <c r="I26" s="29">
        <f>SUM('Raw data Pt'!K27:M27,'Raw data Pt'!AI27:AM27)</f>
        <v>0</v>
      </c>
      <c r="J26" s="29">
        <f>SUM('Raw data Pt'!F27:W27,'Raw data Pt'!Y27:AM27)</f>
        <v>0</v>
      </c>
    </row>
    <row r="27" spans="1:11" x14ac:dyDescent="0.25">
      <c r="A27" s="28"/>
      <c r="B27" s="29">
        <f>SUM('Raw data Pt'!F28:G28,'Raw data Pt'!N28:Q28)</f>
        <v>0</v>
      </c>
      <c r="C27" s="29">
        <f>'Raw data Pt'!H28</f>
        <v>0</v>
      </c>
      <c r="D27" s="29">
        <f>SUM('Raw data Pt'!I28:J28,'Raw data Pt'!R28)</f>
        <v>0</v>
      </c>
      <c r="E27" s="29">
        <f>SUM('Raw data Pt'!P28:Q28,'Raw data Pt'!S28:T28)</f>
        <v>0</v>
      </c>
      <c r="F27" s="29">
        <f>SUM('Raw data Pt'!U28:W28)</f>
        <v>0</v>
      </c>
      <c r="G27" s="29">
        <f>SUM('Raw data Pt'!Y28:AE28)</f>
        <v>0</v>
      </c>
      <c r="H27" s="29">
        <f>SUM('Raw data Pt'!AF28:AH28)</f>
        <v>0</v>
      </c>
      <c r="I27" s="29">
        <f>SUM('Raw data Pt'!K28:M28,'Raw data Pt'!AI28:AM28)</f>
        <v>0</v>
      </c>
      <c r="J27" s="29">
        <f>SUM('Raw data Pt'!F28:W28,'Raw data Pt'!Y28:AM28)</f>
        <v>0</v>
      </c>
    </row>
    <row r="28" spans="1:11" x14ac:dyDescent="0.25">
      <c r="A28" s="28"/>
      <c r="B28" s="29">
        <f>SUM('Raw data Pt'!F29:G29,'Raw data Pt'!N29:Q29)</f>
        <v>0</v>
      </c>
      <c r="C28" s="29">
        <f>'Raw data Pt'!H29</f>
        <v>0</v>
      </c>
      <c r="D28" s="29">
        <f>SUM('Raw data Pt'!I29:J29,'Raw data Pt'!R29)</f>
        <v>0</v>
      </c>
      <c r="E28" s="29">
        <f>SUM('Raw data Pt'!P29:Q29,'Raw data Pt'!S29:T29)</f>
        <v>0</v>
      </c>
      <c r="F28" s="29">
        <f>SUM('Raw data Pt'!U29:W29)</f>
        <v>0</v>
      </c>
      <c r="G28" s="29">
        <f>SUM('Raw data Pt'!Y29:AE29)</f>
        <v>0</v>
      </c>
      <c r="H28" s="29">
        <f>SUM('Raw data Pt'!AF29:AH29)</f>
        <v>0</v>
      </c>
      <c r="I28" s="29">
        <f>SUM('Raw data Pt'!K29:M29,'Raw data Pt'!AI29:AM29)</f>
        <v>0</v>
      </c>
      <c r="J28" s="29">
        <f>SUM('Raw data Pt'!F29:W29,'Raw data Pt'!Y29:AM29)</f>
        <v>0</v>
      </c>
    </row>
    <row r="29" spans="1:11" x14ac:dyDescent="0.25">
      <c r="A29" s="28"/>
      <c r="B29" s="29">
        <f>SUM('Raw data Pt'!F30:G30,'Raw data Pt'!N30:Q30)</f>
        <v>0</v>
      </c>
      <c r="C29" s="29">
        <f>'Raw data Pt'!H30</f>
        <v>0</v>
      </c>
      <c r="D29" s="29">
        <f>SUM('Raw data Pt'!I30:J30,'Raw data Pt'!R30)</f>
        <v>0</v>
      </c>
      <c r="E29" s="29">
        <f>SUM('Raw data Pt'!P30:Q30,'Raw data Pt'!S30:T30)</f>
        <v>0</v>
      </c>
      <c r="F29" s="29">
        <f>SUM('Raw data Pt'!U30:W30)</f>
        <v>0</v>
      </c>
      <c r="G29" s="29">
        <f>SUM('Raw data Pt'!Y30:AE30)</f>
        <v>0</v>
      </c>
      <c r="H29" s="29">
        <f>SUM('Raw data Pt'!AF30:AH30)</f>
        <v>0</v>
      </c>
      <c r="I29" s="29">
        <f>SUM('Raw data Pt'!K30:M30,'Raw data Pt'!AI30:AM30)</f>
        <v>0</v>
      </c>
      <c r="J29" s="29">
        <f>SUM('Raw data Pt'!F30:W30,'Raw data Pt'!Y30:AM30)</f>
        <v>0</v>
      </c>
    </row>
    <row r="30" spans="1:11" x14ac:dyDescent="0.25">
      <c r="A30" s="28"/>
      <c r="B30" s="29">
        <f>SUM('Raw data Pt'!F31:G31,'Raw data Pt'!N31:Q31)</f>
        <v>0</v>
      </c>
      <c r="C30" s="29">
        <f>'Raw data Pt'!H31</f>
        <v>0</v>
      </c>
      <c r="D30" s="29">
        <f>SUM('Raw data Pt'!I31:J31,'Raw data Pt'!R31)</f>
        <v>0</v>
      </c>
      <c r="E30" s="29">
        <f>SUM('Raw data Pt'!P31:Q31,'Raw data Pt'!S31:T31)</f>
        <v>0</v>
      </c>
      <c r="F30" s="29">
        <f>SUM('Raw data Pt'!U31:W31)</f>
        <v>0</v>
      </c>
      <c r="G30" s="29">
        <f>SUM('Raw data Pt'!Y31:AE31)</f>
        <v>0</v>
      </c>
      <c r="H30" s="29">
        <f>SUM('Raw data Pt'!AF31:AH31)</f>
        <v>0</v>
      </c>
      <c r="I30" s="29">
        <f>SUM('Raw data Pt'!K31:M31,'Raw data Pt'!AI31:AM31)</f>
        <v>0</v>
      </c>
      <c r="J30" s="29">
        <f>SUM('Raw data Pt'!F31:W31,'Raw data Pt'!Y31:AM31)</f>
        <v>0</v>
      </c>
    </row>
    <row r="31" spans="1:11" x14ac:dyDescent="0.25">
      <c r="A31" s="30"/>
      <c r="B31" s="29">
        <f>SUM('Raw data Pt'!F32:G32,'Raw data Pt'!N32:Q32)</f>
        <v>0</v>
      </c>
      <c r="C31" s="29">
        <f>'Raw data Pt'!H32</f>
        <v>0</v>
      </c>
      <c r="D31" s="29">
        <f>SUM('Raw data Pt'!I32:J32,'Raw data Pt'!R32)</f>
        <v>0</v>
      </c>
      <c r="E31" s="29">
        <f>SUM('Raw data Pt'!P32:Q32,'Raw data Pt'!S32:T32)</f>
        <v>0</v>
      </c>
      <c r="F31" s="29">
        <f>SUM('Raw data Pt'!U32:W32)</f>
        <v>0</v>
      </c>
      <c r="G31" s="29">
        <f>SUM('Raw data Pt'!Y32:AE32)</f>
        <v>0</v>
      </c>
      <c r="H31" s="29">
        <f>SUM('Raw data Pt'!AF32:AH32)</f>
        <v>0</v>
      </c>
      <c r="I31" s="29">
        <f>SUM('Raw data Pt'!K32:M32,'Raw data Pt'!AI32:AM32)</f>
        <v>0</v>
      </c>
      <c r="J31" s="29">
        <f>SUM('Raw data Pt'!F32:W32,'Raw data Pt'!Y32:AM32)</f>
        <v>0</v>
      </c>
    </row>
    <row r="32" spans="1:11" x14ac:dyDescent="0.25">
      <c r="A32" s="31"/>
      <c r="B32" s="29">
        <f>SUM('Raw data Pt'!F33:G33,'Raw data Pt'!N33:Q33)</f>
        <v>0</v>
      </c>
      <c r="C32" s="29">
        <f>'Raw data Pt'!H33</f>
        <v>0</v>
      </c>
      <c r="D32" s="29">
        <f>SUM('Raw data Pt'!I33:J33,'Raw data Pt'!R33)</f>
        <v>0</v>
      </c>
      <c r="E32" s="29">
        <f>SUM('Raw data Pt'!P33:Q33,'Raw data Pt'!S33:T33)</f>
        <v>0</v>
      </c>
      <c r="F32" s="29">
        <f>SUM('Raw data Pt'!U33:W33)</f>
        <v>0</v>
      </c>
      <c r="G32" s="29">
        <f>SUM('Raw data Pt'!Y33:AE33)</f>
        <v>0</v>
      </c>
      <c r="H32" s="29">
        <f>SUM('Raw data Pt'!AF33:AH33)</f>
        <v>0</v>
      </c>
      <c r="I32" s="29">
        <f>SUM('Raw data Pt'!K33:M33,'Raw data Pt'!AI33:AM33)</f>
        <v>0</v>
      </c>
      <c r="J32" s="29">
        <f>SUM('Raw data Pt'!F33:W33,'Raw data Pt'!Y33:AM33)</f>
        <v>0</v>
      </c>
    </row>
    <row r="33" spans="1:10" x14ac:dyDescent="0.25">
      <c r="A33" s="31"/>
      <c r="B33" s="29">
        <f>SUM('Raw data Pt'!F34:G34,'Raw data Pt'!N34:Q34)</f>
        <v>0</v>
      </c>
      <c r="C33" s="29">
        <f>'Raw data Pt'!H34</f>
        <v>0</v>
      </c>
      <c r="D33" s="29">
        <f>SUM('Raw data Pt'!I34:J34,'Raw data Pt'!R34)</f>
        <v>0</v>
      </c>
      <c r="E33" s="29">
        <f>SUM('Raw data Pt'!P34:Q34,'Raw data Pt'!S34:T34)</f>
        <v>0</v>
      </c>
      <c r="F33" s="29">
        <f>SUM('Raw data Pt'!U34:W34)</f>
        <v>0</v>
      </c>
      <c r="G33" s="29">
        <f>SUM('Raw data Pt'!Y34:AE34)</f>
        <v>0</v>
      </c>
      <c r="H33" s="29">
        <f>SUM('Raw data Pt'!AF34:AH34)</f>
        <v>0</v>
      </c>
      <c r="I33" s="29">
        <f>SUM('Raw data Pt'!K34:M34,'Raw data Pt'!AI34:AM34)</f>
        <v>0</v>
      </c>
      <c r="J33" s="29">
        <f>SUM('Raw data Pt'!F34:W34,'Raw data Pt'!Y34:AM34)</f>
        <v>0</v>
      </c>
    </row>
    <row r="34" spans="1:10" x14ac:dyDescent="0.25">
      <c r="A34" s="31"/>
      <c r="B34" s="29">
        <f>SUM('Raw data Pt'!F35:G35,'Raw data Pt'!N35:Q35)</f>
        <v>0</v>
      </c>
      <c r="C34" s="29">
        <f>'Raw data Pt'!H35</f>
        <v>0</v>
      </c>
      <c r="D34" s="29">
        <f>SUM('Raw data Pt'!I35:J35,'Raw data Pt'!R35)</f>
        <v>0</v>
      </c>
      <c r="E34" s="29">
        <f>SUM('Raw data Pt'!P35:Q35,'Raw data Pt'!S35:T35)</f>
        <v>0</v>
      </c>
      <c r="F34" s="29">
        <f>SUM('Raw data Pt'!U35:W35)</f>
        <v>0</v>
      </c>
      <c r="G34" s="29">
        <f>SUM('Raw data Pt'!Y35:AE35)</f>
        <v>0</v>
      </c>
      <c r="H34" s="29">
        <f>SUM('Raw data Pt'!AF35:AH35)</f>
        <v>0</v>
      </c>
      <c r="I34" s="29">
        <f>SUM('Raw data Pt'!K35:M35,'Raw data Pt'!AI35:AM35)</f>
        <v>0</v>
      </c>
      <c r="J34" s="29">
        <f>SUM('Raw data Pt'!F35:W35,'Raw data Pt'!Y35:AM35)</f>
        <v>0</v>
      </c>
    </row>
    <row r="35" spans="1:10" x14ac:dyDescent="0.25">
      <c r="A35" s="31"/>
      <c r="B35" s="29">
        <f>SUM('Raw data Pt'!F36:G36,'Raw data Pt'!N36:Q36)</f>
        <v>0</v>
      </c>
      <c r="C35" s="29">
        <f>'Raw data Pt'!H36</f>
        <v>0</v>
      </c>
      <c r="D35" s="29">
        <f>SUM('Raw data Pt'!I36:J36,'Raw data Pt'!R36)</f>
        <v>0</v>
      </c>
      <c r="E35" s="29">
        <f>SUM('Raw data Pt'!P36:Q36,'Raw data Pt'!S36:T36)</f>
        <v>0</v>
      </c>
      <c r="F35" s="29">
        <f>SUM('Raw data Pt'!U36:W36)</f>
        <v>0</v>
      </c>
      <c r="G35" s="29">
        <f>SUM('Raw data Pt'!Y36:AE36)</f>
        <v>0</v>
      </c>
      <c r="H35" s="29">
        <f>SUM('Raw data Pt'!AF36:AH36)</f>
        <v>0</v>
      </c>
      <c r="I35" s="29">
        <f>SUM('Raw data Pt'!K36:M36,'Raw data Pt'!AI36:AM36)</f>
        <v>0</v>
      </c>
      <c r="J35" s="29">
        <f>SUM('Raw data Pt'!F36:W36,'Raw data Pt'!Y36:AM36)</f>
        <v>0</v>
      </c>
    </row>
    <row r="36" spans="1:10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</row>
  </sheetData>
  <mergeCells count="2">
    <mergeCell ref="A1:A2"/>
    <mergeCell ref="J1:J2"/>
  </mergeCells>
  <pageMargins left="0.7" right="0.7" top="0.75" bottom="0.75" header="0.3" footer="0.3"/>
  <ignoredErrors>
    <ignoredError sqref="F5 F6:F31 G5:H31 I9 I22:J22 I29:J29 I31:J31 D3 I3:J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Pt</vt:lpstr>
      <vt:lpstr>Scoring 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Johana Isaza-Correa</cp:lastModifiedBy>
  <cp:revision/>
  <dcterms:created xsi:type="dcterms:W3CDTF">2022-05-13T13:33:23Z</dcterms:created>
  <dcterms:modified xsi:type="dcterms:W3CDTF">2026-03-13T13:37:11Z</dcterms:modified>
  <cp:category/>
  <cp:contentStatus/>
</cp:coreProperties>
</file>